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nal Project_Time Series\Stations\Louisiana\"/>
    </mc:Choice>
  </mc:AlternateContent>
  <xr:revisionPtr revIDLastSave="0" documentId="13_ncr:1_{B76EF9F9-BFFE-4E3E-9160-718A46037D9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Louisiana_Velocity_Results" sheetId="1" r:id="rId1"/>
  </sheet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39" i="1" l="1"/>
  <c r="U39" i="1" s="1"/>
  <c r="P39" i="1"/>
  <c r="T39" i="1" s="1"/>
  <c r="O39" i="1"/>
  <c r="S39" i="1" s="1"/>
  <c r="Q38" i="1"/>
  <c r="U38" i="1" s="1"/>
  <c r="P38" i="1"/>
  <c r="T38" i="1" s="1"/>
  <c r="O38" i="1"/>
  <c r="S38" i="1" s="1"/>
  <c r="Q37" i="1"/>
  <c r="U37" i="1" s="1"/>
  <c r="P37" i="1"/>
  <c r="T37" i="1" s="1"/>
  <c r="O37" i="1"/>
  <c r="S37" i="1" s="1"/>
  <c r="Q36" i="1"/>
  <c r="U36" i="1" s="1"/>
  <c r="P36" i="1"/>
  <c r="T36" i="1" s="1"/>
  <c r="O36" i="1"/>
  <c r="S36" i="1" s="1"/>
  <c r="Q35" i="1"/>
  <c r="U35" i="1" s="1"/>
  <c r="P35" i="1"/>
  <c r="T35" i="1" s="1"/>
  <c r="O35" i="1"/>
  <c r="S35" i="1" s="1"/>
  <c r="Q34" i="1"/>
  <c r="U34" i="1" s="1"/>
  <c r="P34" i="1"/>
  <c r="T34" i="1" s="1"/>
  <c r="O34" i="1"/>
  <c r="S34" i="1" s="1"/>
  <c r="Q33" i="1"/>
  <c r="U33" i="1" s="1"/>
  <c r="P33" i="1"/>
  <c r="T33" i="1" s="1"/>
  <c r="O33" i="1"/>
  <c r="S33" i="1" s="1"/>
  <c r="Q32" i="1"/>
  <c r="U32" i="1" s="1"/>
  <c r="P32" i="1"/>
  <c r="T32" i="1" s="1"/>
  <c r="O32" i="1"/>
  <c r="S32" i="1" s="1"/>
  <c r="T31" i="1"/>
  <c r="Q31" i="1"/>
  <c r="U31" i="1" s="1"/>
  <c r="P31" i="1"/>
  <c r="O31" i="1"/>
  <c r="S31" i="1" s="1"/>
  <c r="Q30" i="1"/>
  <c r="U30" i="1" s="1"/>
  <c r="P30" i="1"/>
  <c r="T30" i="1" s="1"/>
  <c r="O30" i="1"/>
  <c r="S30" i="1" s="1"/>
  <c r="Q29" i="1"/>
  <c r="U29" i="1" s="1"/>
  <c r="P29" i="1"/>
  <c r="T29" i="1" s="1"/>
  <c r="O29" i="1"/>
  <c r="S29" i="1" s="1"/>
  <c r="Q28" i="1"/>
  <c r="U28" i="1" s="1"/>
  <c r="P28" i="1"/>
  <c r="T28" i="1" s="1"/>
  <c r="O28" i="1"/>
  <c r="S28" i="1" s="1"/>
  <c r="Q27" i="1"/>
  <c r="U27" i="1" s="1"/>
  <c r="P27" i="1"/>
  <c r="T27" i="1" s="1"/>
  <c r="O27" i="1"/>
  <c r="S27" i="1" s="1"/>
  <c r="Q26" i="1"/>
  <c r="U26" i="1" s="1"/>
  <c r="P26" i="1"/>
  <c r="T26" i="1" s="1"/>
  <c r="O26" i="1"/>
  <c r="S26" i="1" s="1"/>
  <c r="T25" i="1"/>
  <c r="Q25" i="1"/>
  <c r="U25" i="1" s="1"/>
  <c r="P25" i="1"/>
  <c r="O25" i="1"/>
  <c r="S25" i="1" s="1"/>
  <c r="Q24" i="1"/>
  <c r="U24" i="1" s="1"/>
  <c r="P24" i="1"/>
  <c r="T24" i="1" s="1"/>
  <c r="O24" i="1"/>
  <c r="S24" i="1" s="1"/>
  <c r="T23" i="1"/>
  <c r="Q23" i="1"/>
  <c r="U23" i="1" s="1"/>
  <c r="P23" i="1"/>
  <c r="O23" i="1"/>
  <c r="S23" i="1" s="1"/>
  <c r="Q22" i="1"/>
  <c r="U22" i="1" s="1"/>
  <c r="P22" i="1"/>
  <c r="T22" i="1" s="1"/>
  <c r="O22" i="1"/>
  <c r="S22" i="1" s="1"/>
  <c r="T21" i="1"/>
  <c r="Q21" i="1"/>
  <c r="U21" i="1" s="1"/>
  <c r="P21" i="1"/>
  <c r="O21" i="1"/>
  <c r="S21" i="1" s="1"/>
  <c r="Q20" i="1"/>
  <c r="U20" i="1" s="1"/>
  <c r="P20" i="1"/>
  <c r="T20" i="1" s="1"/>
  <c r="O20" i="1"/>
  <c r="S20" i="1" s="1"/>
  <c r="Q19" i="1"/>
  <c r="U19" i="1" s="1"/>
  <c r="P19" i="1"/>
  <c r="T19" i="1" s="1"/>
  <c r="O19" i="1"/>
  <c r="S19" i="1" s="1"/>
  <c r="Q18" i="1"/>
  <c r="U18" i="1" s="1"/>
  <c r="P18" i="1"/>
  <c r="T18" i="1" s="1"/>
  <c r="O18" i="1"/>
  <c r="S18" i="1" s="1"/>
  <c r="Q17" i="1"/>
  <c r="U17" i="1" s="1"/>
  <c r="P17" i="1"/>
  <c r="T17" i="1" s="1"/>
  <c r="O17" i="1"/>
  <c r="S17" i="1" s="1"/>
  <c r="Q16" i="1"/>
  <c r="U16" i="1" s="1"/>
  <c r="P16" i="1"/>
  <c r="T16" i="1" s="1"/>
  <c r="O16" i="1"/>
  <c r="S16" i="1" s="1"/>
  <c r="Q15" i="1"/>
  <c r="U15" i="1" s="1"/>
  <c r="P15" i="1"/>
  <c r="T15" i="1" s="1"/>
  <c r="O15" i="1"/>
  <c r="S15" i="1" s="1"/>
  <c r="Q14" i="1"/>
  <c r="U14" i="1" s="1"/>
  <c r="P14" i="1"/>
  <c r="T14" i="1" s="1"/>
  <c r="O14" i="1"/>
  <c r="S14" i="1" s="1"/>
  <c r="Q13" i="1"/>
  <c r="U13" i="1" s="1"/>
  <c r="P13" i="1"/>
  <c r="T13" i="1" s="1"/>
  <c r="O13" i="1"/>
  <c r="S13" i="1" s="1"/>
  <c r="Q12" i="1"/>
  <c r="U12" i="1" s="1"/>
  <c r="P12" i="1"/>
  <c r="T12" i="1" s="1"/>
  <c r="O12" i="1"/>
  <c r="S12" i="1" s="1"/>
  <c r="Q11" i="1"/>
  <c r="U11" i="1" s="1"/>
  <c r="P11" i="1"/>
  <c r="T11" i="1" s="1"/>
  <c r="O11" i="1"/>
  <c r="S11" i="1" s="1"/>
  <c r="Q10" i="1"/>
  <c r="U10" i="1" s="1"/>
  <c r="P10" i="1"/>
  <c r="T10" i="1" s="1"/>
  <c r="O10" i="1"/>
  <c r="S10" i="1" s="1"/>
  <c r="Q9" i="1"/>
  <c r="U9" i="1" s="1"/>
  <c r="P9" i="1"/>
  <c r="T9" i="1" s="1"/>
  <c r="O9" i="1"/>
  <c r="S9" i="1" s="1"/>
  <c r="Q8" i="1"/>
  <c r="U8" i="1" s="1"/>
  <c r="P8" i="1"/>
  <c r="T8" i="1" s="1"/>
  <c r="O8" i="1"/>
  <c r="S8" i="1" s="1"/>
  <c r="T7" i="1"/>
  <c r="Q7" i="1"/>
  <c r="U7" i="1" s="1"/>
  <c r="P7" i="1"/>
  <c r="O7" i="1"/>
  <c r="S7" i="1" s="1"/>
  <c r="Q6" i="1"/>
  <c r="U6" i="1" s="1"/>
  <c r="P6" i="1"/>
  <c r="T6" i="1" s="1"/>
  <c r="O6" i="1"/>
  <c r="S6" i="1" s="1"/>
  <c r="Q5" i="1"/>
  <c r="U5" i="1" s="1"/>
  <c r="P5" i="1"/>
  <c r="T5" i="1" s="1"/>
  <c r="O5" i="1"/>
  <c r="S5" i="1" s="1"/>
  <c r="Q4" i="1"/>
  <c r="U4" i="1" s="1"/>
  <c r="P4" i="1"/>
  <c r="T4" i="1" s="1"/>
  <c r="O4" i="1"/>
  <c r="S4" i="1" s="1"/>
  <c r="Q3" i="1"/>
  <c r="U3" i="1" s="1"/>
  <c r="P3" i="1"/>
  <c r="T3" i="1" s="1"/>
  <c r="O3" i="1"/>
  <c r="S3" i="1" s="1"/>
  <c r="W3" i="1" l="1"/>
  <c r="Y3" i="1"/>
  <c r="X3" i="1"/>
</calcChain>
</file>

<file path=xl/sharedStrings.xml><?xml version="1.0" encoding="utf-8"?>
<sst xmlns="http://schemas.openxmlformats.org/spreadsheetml/2006/main" count="64" uniqueCount="55">
  <si>
    <t>Annual + Semi-Annual + Quarter-Annual</t>
  </si>
  <si>
    <t>Annual + Semi-Annual</t>
  </si>
  <si>
    <t>Station</t>
  </si>
  <si>
    <t>1LSU</t>
  </si>
  <si>
    <t>1NSU</t>
  </si>
  <si>
    <t>1ULM</t>
  </si>
  <si>
    <t>AWES</t>
  </si>
  <si>
    <t>CAMR</t>
  </si>
  <si>
    <t>COVG</t>
  </si>
  <si>
    <t>DSTR</t>
  </si>
  <si>
    <t>FSHS</t>
  </si>
  <si>
    <t>GRIS</t>
  </si>
  <si>
    <t>GVMS</t>
  </si>
  <si>
    <t>HAMM</t>
  </si>
  <si>
    <t>LAAB</t>
  </si>
  <si>
    <t>LAAX</t>
  </si>
  <si>
    <t>LABL</t>
  </si>
  <si>
    <t>LABR</t>
  </si>
  <si>
    <t>LABV</t>
  </si>
  <si>
    <t>LAFR</t>
  </si>
  <si>
    <t>LAHO</t>
  </si>
  <si>
    <t>LALA</t>
  </si>
  <si>
    <t>LALC</t>
  </si>
  <si>
    <t>LALP</t>
  </si>
  <si>
    <t>LAOK</t>
  </si>
  <si>
    <t>LAOP</t>
  </si>
  <si>
    <t>LAST</t>
  </si>
  <si>
    <t>LESV</t>
  </si>
  <si>
    <t>LHJI</t>
  </si>
  <si>
    <t>LSUA</t>
  </si>
  <si>
    <t>LTEC</t>
  </si>
  <si>
    <t>LWES</t>
  </si>
  <si>
    <t>MCNE</t>
  </si>
  <si>
    <t>MRY2</t>
  </si>
  <si>
    <t>OAKH</t>
  </si>
  <si>
    <t>SHRV</t>
  </si>
  <si>
    <t>SIHS</t>
  </si>
  <si>
    <t>SJB1</t>
  </si>
  <si>
    <t>TALL</t>
  </si>
  <si>
    <t>TONY</t>
  </si>
  <si>
    <t>ΔV</t>
  </si>
  <si>
    <t>[VV]</t>
  </si>
  <si>
    <t>RMSE</t>
  </si>
  <si>
    <r>
      <t>ΔV</t>
    </r>
    <r>
      <rPr>
        <vertAlign val="subscript"/>
        <sz val="11"/>
        <color theme="1"/>
        <rFont val="Calibri"/>
        <family val="2"/>
        <charset val="162"/>
        <scheme val="minor"/>
      </rPr>
      <t>E</t>
    </r>
  </si>
  <si>
    <r>
      <t>ΔV</t>
    </r>
    <r>
      <rPr>
        <vertAlign val="subscript"/>
        <sz val="11"/>
        <color theme="1"/>
        <rFont val="Calibri"/>
        <family val="2"/>
        <charset val="162"/>
        <scheme val="minor"/>
      </rPr>
      <t>N</t>
    </r>
  </si>
  <si>
    <r>
      <t>ΔV</t>
    </r>
    <r>
      <rPr>
        <vertAlign val="subscript"/>
        <sz val="11"/>
        <color theme="1"/>
        <rFont val="Calibri"/>
        <family val="2"/>
        <charset val="162"/>
        <scheme val="minor"/>
      </rPr>
      <t>U</t>
    </r>
  </si>
  <si>
    <r>
      <t>ΔV</t>
    </r>
    <r>
      <rPr>
        <vertAlign val="subscript"/>
        <sz val="11"/>
        <color theme="1"/>
        <rFont val="Calibri"/>
        <family val="2"/>
        <charset val="162"/>
        <scheme val="minor"/>
      </rPr>
      <t>E</t>
    </r>
    <r>
      <rPr>
        <vertAlign val="superscript"/>
        <sz val="11"/>
        <color theme="1"/>
        <rFont val="Calibri"/>
        <family val="2"/>
        <charset val="162"/>
        <scheme val="minor"/>
      </rPr>
      <t>2</t>
    </r>
  </si>
  <si>
    <r>
      <t>ΔV</t>
    </r>
    <r>
      <rPr>
        <vertAlign val="subscript"/>
        <sz val="11"/>
        <color theme="1"/>
        <rFont val="Calibri"/>
        <family val="2"/>
        <charset val="162"/>
        <scheme val="minor"/>
      </rPr>
      <t>N</t>
    </r>
    <r>
      <rPr>
        <vertAlign val="superscript"/>
        <sz val="11"/>
        <color theme="1"/>
        <rFont val="Calibri"/>
        <family val="2"/>
        <charset val="162"/>
        <scheme val="minor"/>
      </rPr>
      <t>2</t>
    </r>
  </si>
  <si>
    <r>
      <t>ΔV</t>
    </r>
    <r>
      <rPr>
        <vertAlign val="subscript"/>
        <sz val="11"/>
        <color theme="1"/>
        <rFont val="Calibri"/>
        <family val="2"/>
        <charset val="162"/>
        <scheme val="minor"/>
      </rPr>
      <t>U</t>
    </r>
    <r>
      <rPr>
        <vertAlign val="superscript"/>
        <sz val="11"/>
        <color theme="1"/>
        <rFont val="Calibri"/>
        <family val="2"/>
        <charset val="162"/>
        <scheme val="minor"/>
      </rPr>
      <t>2</t>
    </r>
  </si>
  <si>
    <r>
      <t>V</t>
    </r>
    <r>
      <rPr>
        <vertAlign val="subscript"/>
        <sz val="11"/>
        <color theme="1"/>
        <rFont val="Calibri"/>
        <family val="2"/>
        <charset val="162"/>
        <scheme val="minor"/>
      </rPr>
      <t>E</t>
    </r>
  </si>
  <si>
    <r>
      <t>V</t>
    </r>
    <r>
      <rPr>
        <vertAlign val="subscript"/>
        <sz val="11"/>
        <color theme="1"/>
        <rFont val="Calibri"/>
        <family val="2"/>
        <charset val="162"/>
        <scheme val="minor"/>
      </rPr>
      <t>N</t>
    </r>
  </si>
  <si>
    <r>
      <t>V</t>
    </r>
    <r>
      <rPr>
        <vertAlign val="subscript"/>
        <sz val="11"/>
        <color theme="1"/>
        <rFont val="Calibri"/>
        <family val="2"/>
        <charset val="162"/>
        <scheme val="minor"/>
      </rPr>
      <t>U</t>
    </r>
  </si>
  <si>
    <r>
      <t>σ</t>
    </r>
    <r>
      <rPr>
        <vertAlign val="subscript"/>
        <sz val="11"/>
        <color theme="1"/>
        <rFont val="Calibri"/>
        <family val="2"/>
        <charset val="162"/>
        <scheme val="minor"/>
      </rPr>
      <t>E</t>
    </r>
  </si>
  <si>
    <r>
      <t>σ</t>
    </r>
    <r>
      <rPr>
        <vertAlign val="subscript"/>
        <sz val="11"/>
        <color theme="1"/>
        <rFont val="Calibri"/>
        <family val="2"/>
        <charset val="162"/>
        <scheme val="minor"/>
      </rPr>
      <t>N</t>
    </r>
  </si>
  <si>
    <r>
      <t>σ</t>
    </r>
    <r>
      <rPr>
        <vertAlign val="subscript"/>
        <sz val="11"/>
        <color theme="1"/>
        <rFont val="Calibri"/>
        <family val="2"/>
        <charset val="162"/>
        <scheme val="minor"/>
      </rPr>
      <t>U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</si>
</sst>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0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8"/>
      <color theme="3"/>
      <name val="Calibri Light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57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vertAlign val="subscript"/>
      <sz val="11"/>
      <color theme="1"/>
      <name val="Calibri"/>
      <family val="2"/>
      <charset val="162"/>
      <scheme val="minor"/>
    </font>
    <font>
      <vertAlign val="superscript"/>
      <sz val="11"/>
      <color theme="1"/>
      <name val="Calibri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9"/>
  <sheetViews>
    <sheetView tabSelected="1" topLeftCell="C1" workbookViewId="0">
      <selection activeCell="Q21" sqref="Q21"/>
    </sheetView>
  </sheetViews>
  <sheetFormatPr defaultRowHeight="14.4" x14ac:dyDescent="0.3"/>
  <sheetData>
    <row r="1" spans="1:25" x14ac:dyDescent="0.3">
      <c r="A1" s="4" t="s">
        <v>2</v>
      </c>
      <c r="B1" s="4" t="s">
        <v>0</v>
      </c>
      <c r="C1" s="4"/>
      <c r="D1" s="4"/>
      <c r="E1" s="4"/>
      <c r="F1" s="4"/>
      <c r="G1" s="4"/>
      <c r="H1" s="4" t="s">
        <v>1</v>
      </c>
      <c r="I1" s="4"/>
      <c r="J1" s="4"/>
      <c r="K1" s="4"/>
      <c r="L1" s="4"/>
      <c r="M1" s="4"/>
      <c r="O1" s="5" t="s">
        <v>40</v>
      </c>
      <c r="P1" s="5"/>
      <c r="Q1" s="5"/>
      <c r="S1" s="5" t="s">
        <v>41</v>
      </c>
      <c r="T1" s="5"/>
      <c r="U1" s="5"/>
      <c r="W1" s="4" t="s">
        <v>42</v>
      </c>
      <c r="X1" s="4"/>
      <c r="Y1" s="4"/>
    </row>
    <row r="2" spans="1:25" ht="16.2" x14ac:dyDescent="0.3">
      <c r="A2" s="4"/>
      <c r="B2" s="1" t="s">
        <v>49</v>
      </c>
      <c r="C2" s="1" t="s">
        <v>50</v>
      </c>
      <c r="D2" s="1" t="s">
        <v>51</v>
      </c>
      <c r="E2" s="1" t="s">
        <v>52</v>
      </c>
      <c r="F2" s="1" t="s">
        <v>53</v>
      </c>
      <c r="G2" s="1" t="s">
        <v>54</v>
      </c>
      <c r="H2" s="1" t="s">
        <v>49</v>
      </c>
      <c r="I2" s="1" t="s">
        <v>50</v>
      </c>
      <c r="J2" s="1" t="s">
        <v>51</v>
      </c>
      <c r="K2" s="1" t="s">
        <v>52</v>
      </c>
      <c r="L2" s="1" t="s">
        <v>53</v>
      </c>
      <c r="M2" s="1" t="s">
        <v>54</v>
      </c>
      <c r="O2" s="1" t="s">
        <v>43</v>
      </c>
      <c r="P2" s="1" t="s">
        <v>44</v>
      </c>
      <c r="Q2" s="1" t="s">
        <v>45</v>
      </c>
      <c r="R2" s="1"/>
      <c r="S2" s="1" t="s">
        <v>46</v>
      </c>
      <c r="T2" s="1" t="s">
        <v>47</v>
      </c>
      <c r="U2" s="1" t="s">
        <v>48</v>
      </c>
      <c r="V2" s="1"/>
      <c r="W2" s="1" t="s">
        <v>49</v>
      </c>
      <c r="X2" s="1" t="s">
        <v>50</v>
      </c>
      <c r="Y2" s="1" t="s">
        <v>51</v>
      </c>
    </row>
    <row r="3" spans="1:25" x14ac:dyDescent="0.3">
      <c r="A3" s="1" t="s">
        <v>3</v>
      </c>
      <c r="B3" s="2">
        <v>-12.8016863267699</v>
      </c>
      <c r="C3" s="2">
        <v>-0.54630006416605104</v>
      </c>
      <c r="D3" s="2">
        <v>-2.7597054283942799</v>
      </c>
      <c r="E3" s="2">
        <v>0.16465608213862101</v>
      </c>
      <c r="F3" s="2">
        <v>0.117448927174524</v>
      </c>
      <c r="G3" s="2">
        <v>0.27020033582306602</v>
      </c>
      <c r="H3" s="2">
        <v>-12.803015219157</v>
      </c>
      <c r="I3" s="2">
        <v>-0.55531233042807704</v>
      </c>
      <c r="J3" s="2">
        <v>-2.7540061338280499</v>
      </c>
      <c r="K3" s="2">
        <v>0.16469576616582199</v>
      </c>
      <c r="L3" s="2">
        <v>0.117741188652447</v>
      </c>
      <c r="M3" s="2">
        <v>0.27033789625430299</v>
      </c>
      <c r="O3" s="3">
        <f>ABS(B3-H3)*1000</f>
        <v>1.3288923871002112</v>
      </c>
      <c r="P3" s="3">
        <f t="shared" ref="P3:Q39" si="0">ABS(C3-I3)*1000</f>
        <v>9.012266262026003</v>
      </c>
      <c r="Q3" s="3">
        <f t="shared" si="0"/>
        <v>5.6992945662299732</v>
      </c>
      <c r="R3" s="1"/>
      <c r="S3" s="3">
        <f>O3^2</f>
        <v>1.7659549764928975</v>
      </c>
      <c r="T3" s="3">
        <f t="shared" ref="T3:U39" si="1">P3^2</f>
        <v>81.220943177652146</v>
      </c>
      <c r="U3" s="3">
        <f t="shared" si="1"/>
        <v>32.481958552658497</v>
      </c>
      <c r="V3" s="1"/>
      <c r="W3" s="2">
        <f>SQRT(SUM(S3:S39)/37)</f>
        <v>1.7538414090948724</v>
      </c>
      <c r="X3" s="2">
        <f>SQRT(SUM(T3:T39)/37)</f>
        <v>2.8126808079026033</v>
      </c>
      <c r="Y3" s="2">
        <f>SQRT(SUM(U3:U39)/37)</f>
        <v>3.2852260599623895</v>
      </c>
    </row>
    <row r="4" spans="1:25" x14ac:dyDescent="0.3">
      <c r="A4" s="1" t="s">
        <v>4</v>
      </c>
      <c r="B4" s="2">
        <v>-13.3358422464506</v>
      </c>
      <c r="C4" s="2">
        <v>-0.52169639536674794</v>
      </c>
      <c r="D4" s="2">
        <v>-1.16336222735887</v>
      </c>
      <c r="E4" s="2">
        <v>6.3844325937788202E-2</v>
      </c>
      <c r="F4" s="2">
        <v>5.80957252094534E-2</v>
      </c>
      <c r="G4" s="2">
        <v>0.188860739164983</v>
      </c>
      <c r="H4" s="2">
        <v>-13.3357648168032</v>
      </c>
      <c r="I4" s="2">
        <v>-0.52198073935774703</v>
      </c>
      <c r="J4" s="2">
        <v>-1.1628055187000299</v>
      </c>
      <c r="K4" s="2">
        <v>6.3894129883184506E-2</v>
      </c>
      <c r="L4" s="2">
        <v>5.81026790023925E-2</v>
      </c>
      <c r="M4" s="2">
        <v>0.188911161226827</v>
      </c>
      <c r="O4" s="3">
        <f t="shared" ref="O4:O39" si="2">ABS(B4-H4)*1000</f>
        <v>7.7429647399540613E-2</v>
      </c>
      <c r="P4" s="3">
        <f t="shared" si="0"/>
        <v>0.28434399099908081</v>
      </c>
      <c r="Q4" s="3">
        <f t="shared" si="0"/>
        <v>0.55670865884005494</v>
      </c>
      <c r="R4" s="1"/>
      <c r="S4" s="3">
        <f t="shared" ref="S4:S39" si="3">O4^2</f>
        <v>5.9953502964171868E-3</v>
      </c>
      <c r="T4" s="3">
        <f t="shared" si="1"/>
        <v>8.0851505217285347E-2</v>
      </c>
      <c r="U4" s="3">
        <f t="shared" si="1"/>
        <v>0.30992453082749266</v>
      </c>
      <c r="V4" s="1"/>
      <c r="W4" s="2"/>
      <c r="X4" s="2"/>
      <c r="Y4" s="2"/>
    </row>
    <row r="5" spans="1:25" x14ac:dyDescent="0.3">
      <c r="A5" s="1" t="s">
        <v>5</v>
      </c>
      <c r="B5" s="2">
        <v>-13.2883804783974</v>
      </c>
      <c r="C5" s="2">
        <v>-0.88493111115763201</v>
      </c>
      <c r="D5" s="2">
        <v>-2.6935734793220201</v>
      </c>
      <c r="E5" s="2">
        <v>7.8309447809123897E-2</v>
      </c>
      <c r="F5" s="2">
        <v>6.3436759432797196E-2</v>
      </c>
      <c r="G5" s="2">
        <v>0.27101396979995901</v>
      </c>
      <c r="H5" s="2">
        <v>-13.2904736702452</v>
      </c>
      <c r="I5" s="2">
        <v>-0.88459423311475505</v>
      </c>
      <c r="J5" s="2">
        <v>-2.6952618460962801</v>
      </c>
      <c r="K5" s="2">
        <v>7.8544060014054298E-2</v>
      </c>
      <c r="L5" s="2">
        <v>6.3514266685869597E-2</v>
      </c>
      <c r="M5" s="2">
        <v>0.27158633555386102</v>
      </c>
      <c r="O5" s="3">
        <f t="shared" si="2"/>
        <v>2.0931918478002132</v>
      </c>
      <c r="P5" s="3">
        <f t="shared" si="0"/>
        <v>0.33687804287696466</v>
      </c>
      <c r="Q5" s="3">
        <f t="shared" si="0"/>
        <v>1.6883667742599862</v>
      </c>
      <c r="R5" s="1"/>
      <c r="S5" s="3">
        <f t="shared" si="3"/>
        <v>4.3814521116972704</v>
      </c>
      <c r="T5" s="3">
        <f t="shared" si="1"/>
        <v>0.11348681577261403</v>
      </c>
      <c r="U5" s="3">
        <f t="shared" si="1"/>
        <v>2.8505823644250712</v>
      </c>
      <c r="V5" s="1"/>
      <c r="W5" s="1"/>
      <c r="X5" s="1"/>
      <c r="Y5" s="1"/>
    </row>
    <row r="6" spans="1:25" x14ac:dyDescent="0.3">
      <c r="A6" s="1" t="s">
        <v>6</v>
      </c>
      <c r="B6" s="2">
        <v>-13.453903221708</v>
      </c>
      <c r="C6" s="2">
        <v>-0.22400545332500199</v>
      </c>
      <c r="D6" s="2">
        <v>-2.6556641222359101</v>
      </c>
      <c r="E6" s="2">
        <v>0.123569259116963</v>
      </c>
      <c r="F6" s="2">
        <v>8.2913781446447204E-2</v>
      </c>
      <c r="G6" s="2">
        <v>0.21953047886704</v>
      </c>
      <c r="H6" s="2">
        <v>-13.4507997500132</v>
      </c>
      <c r="I6" s="2">
        <v>-0.22389094610215199</v>
      </c>
      <c r="J6" s="2">
        <v>-2.6561627227461502</v>
      </c>
      <c r="K6" s="2">
        <v>0.123789519135585</v>
      </c>
      <c r="L6" s="2">
        <v>8.2983546661823795E-2</v>
      </c>
      <c r="M6" s="2">
        <v>0.219711001154415</v>
      </c>
      <c r="O6" s="3">
        <f t="shared" si="2"/>
        <v>3.1034716947999641</v>
      </c>
      <c r="P6" s="3">
        <f t="shared" si="0"/>
        <v>0.11450722285000214</v>
      </c>
      <c r="Q6" s="3">
        <f t="shared" si="0"/>
        <v>0.49860051024008811</v>
      </c>
      <c r="R6" s="1"/>
      <c r="S6" s="3">
        <f t="shared" si="3"/>
        <v>9.6315365604245606</v>
      </c>
      <c r="T6" s="3">
        <f t="shared" si="1"/>
        <v>1.3111904084820053E-2</v>
      </c>
      <c r="U6" s="3">
        <f t="shared" si="1"/>
        <v>0.24860246881167622</v>
      </c>
      <c r="V6" s="1"/>
      <c r="W6" s="1"/>
      <c r="X6" s="1"/>
      <c r="Y6" s="1"/>
    </row>
    <row r="7" spans="1:25" x14ac:dyDescent="0.3">
      <c r="A7" s="1" t="s">
        <v>7</v>
      </c>
      <c r="B7" s="2">
        <v>-12.235484006488599</v>
      </c>
      <c r="C7" s="2">
        <v>-1.4767194100186301</v>
      </c>
      <c r="D7" s="2">
        <v>-2.4941855447272698</v>
      </c>
      <c r="E7" s="2">
        <v>8.8512328372568103E-2</v>
      </c>
      <c r="F7" s="2">
        <v>0.106050921861567</v>
      </c>
      <c r="G7" s="2">
        <v>0.31850810273973801</v>
      </c>
      <c r="H7" s="2">
        <v>-12.2328361281246</v>
      </c>
      <c r="I7" s="2">
        <v>-1.47861793351008</v>
      </c>
      <c r="J7" s="2">
        <v>-2.4954012443518199</v>
      </c>
      <c r="K7" s="2">
        <v>8.9236303417971202E-2</v>
      </c>
      <c r="L7" s="2">
        <v>0.107013332110201</v>
      </c>
      <c r="M7" s="2">
        <v>0.31896837287882701</v>
      </c>
      <c r="O7" s="3">
        <f t="shared" si="2"/>
        <v>2.6478783639998227</v>
      </c>
      <c r="P7" s="3">
        <f t="shared" si="0"/>
        <v>1.8985234914499216</v>
      </c>
      <c r="Q7" s="3">
        <f t="shared" si="0"/>
        <v>1.2156996245500373</v>
      </c>
      <c r="R7" s="1"/>
      <c r="S7" s="3">
        <f t="shared" si="3"/>
        <v>7.0112598305383775</v>
      </c>
      <c r="T7" s="3">
        <f t="shared" si="1"/>
        <v>3.6043914475872008</v>
      </c>
      <c r="U7" s="3">
        <f t="shared" si="1"/>
        <v>1.4779255771311017</v>
      </c>
      <c r="V7" s="1"/>
      <c r="W7" s="1"/>
      <c r="X7" s="1"/>
      <c r="Y7" s="1"/>
    </row>
    <row r="8" spans="1:25" x14ac:dyDescent="0.3">
      <c r="A8" s="1" t="s">
        <v>8</v>
      </c>
      <c r="B8" s="2">
        <v>-12.4458629188207</v>
      </c>
      <c r="C8" s="2">
        <v>-0.19532442601602201</v>
      </c>
      <c r="D8" s="2">
        <v>-0.96789429253655701</v>
      </c>
      <c r="E8" s="2">
        <v>9.7043758377164793E-2</v>
      </c>
      <c r="F8" s="2">
        <v>0.106577234017412</v>
      </c>
      <c r="G8" s="2">
        <v>0.21108813971371801</v>
      </c>
      <c r="H8" s="2">
        <v>-12.448905115133901</v>
      </c>
      <c r="I8" s="2">
        <v>-0.201738345859895</v>
      </c>
      <c r="J8" s="2">
        <v>-0.96782079113359598</v>
      </c>
      <c r="K8" s="2">
        <v>9.7716557909111101E-2</v>
      </c>
      <c r="L8" s="2">
        <v>0.109297592484976</v>
      </c>
      <c r="M8" s="2">
        <v>0.21200440885053501</v>
      </c>
      <c r="O8" s="3">
        <f t="shared" si="2"/>
        <v>3.0421963132010177</v>
      </c>
      <c r="P8" s="3">
        <f t="shared" si="0"/>
        <v>6.4139198438729892</v>
      </c>
      <c r="Q8" s="3">
        <f t="shared" si="0"/>
        <v>7.350140296102925E-2</v>
      </c>
      <c r="R8" s="1"/>
      <c r="S8" s="3">
        <f t="shared" si="3"/>
        <v>9.2549584080538647</v>
      </c>
      <c r="T8" s="3">
        <f t="shared" si="1"/>
        <v>41.138367763627713</v>
      </c>
      <c r="U8" s="3">
        <f t="shared" si="1"/>
        <v>5.4024562372395994E-3</v>
      </c>
      <c r="V8" s="1"/>
      <c r="W8" s="1"/>
      <c r="X8" s="1"/>
      <c r="Y8" s="1"/>
    </row>
    <row r="9" spans="1:25" x14ac:dyDescent="0.3">
      <c r="A9" s="1" t="s">
        <v>9</v>
      </c>
      <c r="B9" s="2">
        <v>-12.1413692390341</v>
      </c>
      <c r="C9" s="2">
        <v>-0.80876094476342297</v>
      </c>
      <c r="D9" s="2">
        <v>-1.99280669390054</v>
      </c>
      <c r="E9" s="2">
        <v>7.3842940254824296E-2</v>
      </c>
      <c r="F9" s="2">
        <v>8.8728535134014797E-2</v>
      </c>
      <c r="G9" s="2">
        <v>0.193043124879583</v>
      </c>
      <c r="H9" s="2">
        <v>-12.141999089402001</v>
      </c>
      <c r="I9" s="2">
        <v>-0.806179370565409</v>
      </c>
      <c r="J9" s="2">
        <v>-1.9928533462820199</v>
      </c>
      <c r="K9" s="2">
        <v>7.4128003146944496E-2</v>
      </c>
      <c r="L9" s="2">
        <v>8.9192539523262601E-2</v>
      </c>
      <c r="M9" s="2">
        <v>0.19304949954908299</v>
      </c>
      <c r="O9" s="3">
        <f t="shared" si="2"/>
        <v>0.62985036790053073</v>
      </c>
      <c r="P9" s="3">
        <f t="shared" si="0"/>
        <v>2.5815741980139695</v>
      </c>
      <c r="Q9" s="3">
        <f t="shared" si="0"/>
        <v>4.6652381479939109E-2</v>
      </c>
      <c r="R9" s="1"/>
      <c r="S9" s="3">
        <f t="shared" si="3"/>
        <v>0.39671148594443389</v>
      </c>
      <c r="T9" s="3">
        <f t="shared" si="1"/>
        <v>6.6645253398514699</v>
      </c>
      <c r="U9" s="3">
        <f t="shared" si="1"/>
        <v>2.1764446977497656E-3</v>
      </c>
      <c r="V9" s="1"/>
      <c r="W9" s="1"/>
      <c r="X9" s="1"/>
      <c r="Y9" s="1"/>
    </row>
    <row r="10" spans="1:25" x14ac:dyDescent="0.3">
      <c r="A10" s="1" t="s">
        <v>10</v>
      </c>
      <c r="B10" s="2">
        <v>-11.916540263628001</v>
      </c>
      <c r="C10" s="2">
        <v>-2.77153336751253</v>
      </c>
      <c r="D10" s="2">
        <v>-3.40110823520688</v>
      </c>
      <c r="E10" s="2">
        <v>7.8626645529958794E-2</v>
      </c>
      <c r="F10" s="2">
        <v>9.6843318276921997E-2</v>
      </c>
      <c r="G10" s="2">
        <v>0.23262022141970901</v>
      </c>
      <c r="H10" s="2">
        <v>-11.9178537990908</v>
      </c>
      <c r="I10" s="2">
        <v>-2.77173788835823</v>
      </c>
      <c r="J10" s="2">
        <v>-3.3932637108336401</v>
      </c>
      <c r="K10" s="2">
        <v>7.8730847009553406E-2</v>
      </c>
      <c r="L10" s="2">
        <v>9.6826237542318297E-2</v>
      </c>
      <c r="M10" s="2">
        <v>0.23285974059505399</v>
      </c>
      <c r="O10" s="3">
        <f t="shared" si="2"/>
        <v>1.3135354627991092</v>
      </c>
      <c r="P10" s="3">
        <f t="shared" si="0"/>
        <v>0.20452084569999585</v>
      </c>
      <c r="Q10" s="3">
        <f t="shared" si="0"/>
        <v>7.8445243732399028</v>
      </c>
      <c r="R10" s="1"/>
      <c r="S10" s="3">
        <f t="shared" si="3"/>
        <v>1.72537541203087</v>
      </c>
      <c r="T10" s="3">
        <f t="shared" si="1"/>
        <v>4.1828776325841512E-2</v>
      </c>
      <c r="U10" s="3">
        <f t="shared" si="1"/>
        <v>61.536562642354887</v>
      </c>
      <c r="V10" s="1"/>
      <c r="W10" s="1"/>
      <c r="X10" s="1"/>
      <c r="Y10" s="1"/>
    </row>
    <row r="11" spans="1:25" x14ac:dyDescent="0.3">
      <c r="A11" s="1" t="s">
        <v>11</v>
      </c>
      <c r="B11" s="2">
        <v>-12.3106777074421</v>
      </c>
      <c r="C11" s="2">
        <v>-0.59954316869589397</v>
      </c>
      <c r="D11" s="2">
        <v>-6.6700002538759904</v>
      </c>
      <c r="E11" s="2">
        <v>4.3942927125769297E-2</v>
      </c>
      <c r="F11" s="2">
        <v>5.0531076390874001E-2</v>
      </c>
      <c r="G11" s="2">
        <v>0.13464533700201201</v>
      </c>
      <c r="H11" s="2">
        <v>-12.3097403662853</v>
      </c>
      <c r="I11" s="2">
        <v>-0.59909442446450401</v>
      </c>
      <c r="J11" s="2">
        <v>-6.6717278909213604</v>
      </c>
      <c r="K11" s="2">
        <v>4.4006301969750597E-2</v>
      </c>
      <c r="L11" s="2">
        <v>5.0569122399523998E-2</v>
      </c>
      <c r="M11" s="2">
        <v>0.1351684517865</v>
      </c>
      <c r="O11" s="3">
        <f t="shared" si="2"/>
        <v>0.9373411567992207</v>
      </c>
      <c r="P11" s="3">
        <f t="shared" si="0"/>
        <v>0.44874423138996367</v>
      </c>
      <c r="Q11" s="3">
        <f t="shared" si="0"/>
        <v>1.7276370453700451</v>
      </c>
      <c r="R11" s="1"/>
      <c r="S11" s="3">
        <f t="shared" si="3"/>
        <v>0.87860844422970119</v>
      </c>
      <c r="T11" s="3">
        <f t="shared" si="1"/>
        <v>0.20137138520576925</v>
      </c>
      <c r="U11" s="3">
        <f t="shared" si="1"/>
        <v>2.9847297605349392</v>
      </c>
      <c r="V11" s="1"/>
      <c r="W11" s="1"/>
      <c r="X11" s="1"/>
      <c r="Y11" s="1"/>
    </row>
    <row r="12" spans="1:25" x14ac:dyDescent="0.3">
      <c r="A12" s="1" t="s">
        <v>12</v>
      </c>
      <c r="B12" s="2">
        <v>-12.435148791838801</v>
      </c>
      <c r="C12" s="2">
        <v>-0.82956944898881602</v>
      </c>
      <c r="D12" s="2">
        <v>-1.70288119934884</v>
      </c>
      <c r="E12" s="2">
        <v>7.7887652506615696E-2</v>
      </c>
      <c r="F12" s="2">
        <v>7.1310035950362297E-2</v>
      </c>
      <c r="G12" s="2">
        <v>0.177802615107989</v>
      </c>
      <c r="H12" s="2">
        <v>-12.4347408374461</v>
      </c>
      <c r="I12" s="2">
        <v>-0.82733558916875705</v>
      </c>
      <c r="J12" s="2">
        <v>-1.7026788689683601</v>
      </c>
      <c r="K12" s="2">
        <v>7.7984619289574994E-2</v>
      </c>
      <c r="L12" s="2">
        <v>7.1823346642214903E-2</v>
      </c>
      <c r="M12" s="2">
        <v>0.17807146578194999</v>
      </c>
      <c r="O12" s="3">
        <f t="shared" si="2"/>
        <v>0.40795439270091549</v>
      </c>
      <c r="P12" s="3">
        <f t="shared" si="0"/>
        <v>2.2338598200589699</v>
      </c>
      <c r="Q12" s="3">
        <f t="shared" si="0"/>
        <v>0.20233038047989815</v>
      </c>
      <c r="R12" s="1"/>
      <c r="S12" s="3">
        <f t="shared" si="3"/>
        <v>0.16642678652397278</v>
      </c>
      <c r="T12" s="3">
        <f t="shared" si="1"/>
        <v>4.9901296956738932</v>
      </c>
      <c r="U12" s="3">
        <f t="shared" si="1"/>
        <v>4.0937582865140348E-2</v>
      </c>
      <c r="V12" s="1"/>
      <c r="W12" s="1"/>
      <c r="X12" s="1"/>
      <c r="Y12" s="1"/>
    </row>
    <row r="13" spans="1:25" x14ac:dyDescent="0.3">
      <c r="A13" s="1" t="s">
        <v>13</v>
      </c>
      <c r="B13" s="2">
        <v>-12.085062857664999</v>
      </c>
      <c r="C13" s="2">
        <v>-0.32628446721377902</v>
      </c>
      <c r="D13" s="2">
        <v>-1.3266964595583901</v>
      </c>
      <c r="E13" s="2">
        <v>0.10961933201549</v>
      </c>
      <c r="F13" s="2">
        <v>5.94414467047365E-2</v>
      </c>
      <c r="G13" s="2">
        <v>0.16878085408145799</v>
      </c>
      <c r="H13" s="2">
        <v>-12.0877620136978</v>
      </c>
      <c r="I13" s="2">
        <v>-0.327472476711134</v>
      </c>
      <c r="J13" s="2">
        <v>-1.3263159378511999</v>
      </c>
      <c r="K13" s="2">
        <v>0.109689644143105</v>
      </c>
      <c r="L13" s="2">
        <v>5.96479348548049E-2</v>
      </c>
      <c r="M13" s="2">
        <v>0.16869146343771099</v>
      </c>
      <c r="O13" s="3">
        <f t="shared" si="2"/>
        <v>2.6991560328006869</v>
      </c>
      <c r="P13" s="3">
        <f t="shared" si="0"/>
        <v>1.1880094973549804</v>
      </c>
      <c r="Q13" s="3">
        <f t="shared" si="0"/>
        <v>0.38052170719016232</v>
      </c>
      <c r="R13" s="1"/>
      <c r="S13" s="3">
        <f t="shared" si="3"/>
        <v>7.285443289404343</v>
      </c>
      <c r="T13" s="3">
        <f t="shared" si="1"/>
        <v>1.4113665658056331</v>
      </c>
      <c r="U13" s="3">
        <f t="shared" si="1"/>
        <v>0.14479676964291563</v>
      </c>
      <c r="V13" s="1"/>
      <c r="W13" s="1"/>
      <c r="X13" s="1"/>
      <c r="Y13" s="1"/>
    </row>
    <row r="14" spans="1:25" x14ac:dyDescent="0.3">
      <c r="A14" s="1" t="s">
        <v>14</v>
      </c>
      <c r="B14" s="2">
        <v>-12.180631564491399</v>
      </c>
      <c r="C14" s="2">
        <v>-0.63855813436595099</v>
      </c>
      <c r="D14" s="2">
        <v>-2.8821023128053498</v>
      </c>
      <c r="E14" s="2">
        <v>8.8387361690909702E-2</v>
      </c>
      <c r="F14" s="2">
        <v>0.116966820967855</v>
      </c>
      <c r="G14" s="2">
        <v>0.21294817779387201</v>
      </c>
      <c r="H14" s="2">
        <v>-12.179358644113201</v>
      </c>
      <c r="I14" s="2">
        <v>-0.63621814491120099</v>
      </c>
      <c r="J14" s="2">
        <v>-2.88185937577573</v>
      </c>
      <c r="K14" s="2">
        <v>8.8527080065354397E-2</v>
      </c>
      <c r="L14" s="2">
        <v>0.11701144445105199</v>
      </c>
      <c r="M14" s="2">
        <v>0.21294967512042801</v>
      </c>
      <c r="O14" s="3">
        <f t="shared" si="2"/>
        <v>1.2729203781987053</v>
      </c>
      <c r="P14" s="3">
        <f t="shared" si="0"/>
        <v>2.3399894547500022</v>
      </c>
      <c r="Q14" s="3">
        <f t="shared" si="0"/>
        <v>0.24293702961974972</v>
      </c>
      <c r="R14" s="1"/>
      <c r="S14" s="3">
        <f t="shared" si="3"/>
        <v>1.6203262892335348</v>
      </c>
      <c r="T14" s="3">
        <f t="shared" si="1"/>
        <v>5.4755506483412129</v>
      </c>
      <c r="U14" s="3">
        <f t="shared" si="1"/>
        <v>5.9018400360467155E-2</v>
      </c>
      <c r="V14" s="1"/>
      <c r="W14" s="1"/>
      <c r="X14" s="1"/>
      <c r="Y14" s="1"/>
    </row>
    <row r="15" spans="1:25" x14ac:dyDescent="0.3">
      <c r="A15" s="1" t="s">
        <v>15</v>
      </c>
      <c r="B15" s="2">
        <v>-12.246966570667301</v>
      </c>
      <c r="C15" s="2">
        <v>-0.64090630751335897</v>
      </c>
      <c r="D15" s="2">
        <v>-0.53368280760070796</v>
      </c>
      <c r="E15" s="2">
        <v>8.8594862549651807E-2</v>
      </c>
      <c r="F15" s="2">
        <v>0.12471097847995399</v>
      </c>
      <c r="G15" s="2">
        <v>0.31004156441203201</v>
      </c>
      <c r="H15" s="2">
        <v>-12.247303082385701</v>
      </c>
      <c r="I15" s="2">
        <v>-0.64420106030697399</v>
      </c>
      <c r="J15" s="2">
        <v>-0.52831336754742597</v>
      </c>
      <c r="K15" s="2">
        <v>8.8760492815177505E-2</v>
      </c>
      <c r="L15" s="2">
        <v>0.12499604481693601</v>
      </c>
      <c r="M15" s="2">
        <v>0.31365130558229598</v>
      </c>
      <c r="O15" s="3">
        <f t="shared" si="2"/>
        <v>0.33651171839998995</v>
      </c>
      <c r="P15" s="3">
        <f t="shared" si="0"/>
        <v>3.2947527936150189</v>
      </c>
      <c r="Q15" s="3">
        <f t="shared" si="0"/>
        <v>5.369440053281993</v>
      </c>
      <c r="R15" s="1"/>
      <c r="S15" s="3">
        <f t="shared" si="3"/>
        <v>0.11324013662051413</v>
      </c>
      <c r="T15" s="3">
        <f t="shared" si="1"/>
        <v>10.855395971033971</v>
      </c>
      <c r="U15" s="3">
        <f t="shared" si="1"/>
        <v>28.83088648578893</v>
      </c>
      <c r="V15" s="1"/>
      <c r="W15" s="1"/>
      <c r="X15" s="1"/>
      <c r="Y15" s="1"/>
    </row>
    <row r="16" spans="1:25" x14ac:dyDescent="0.3">
      <c r="A16" s="1" t="s">
        <v>16</v>
      </c>
      <c r="B16" s="2">
        <v>-12.5673804408042</v>
      </c>
      <c r="C16" s="2">
        <v>-0.43203228229408402</v>
      </c>
      <c r="D16" s="2">
        <v>-0.74698007959870705</v>
      </c>
      <c r="E16" s="2">
        <v>6.1849302436137801E-2</v>
      </c>
      <c r="F16" s="2">
        <v>7.0882828056384795E-2</v>
      </c>
      <c r="G16" s="2">
        <v>0.16756422521630199</v>
      </c>
      <c r="H16" s="2">
        <v>-12.5652446381657</v>
      </c>
      <c r="I16" s="2">
        <v>-0.43016333122724498</v>
      </c>
      <c r="J16" s="2">
        <v>-0.74920113478720896</v>
      </c>
      <c r="K16" s="2">
        <v>6.24778124376262E-2</v>
      </c>
      <c r="L16" s="2">
        <v>7.1773050583783998E-2</v>
      </c>
      <c r="M16" s="2">
        <v>0.16788883195530199</v>
      </c>
      <c r="O16" s="3">
        <f t="shared" si="2"/>
        <v>2.1358026385005502</v>
      </c>
      <c r="P16" s="3">
        <f t="shared" si="0"/>
        <v>1.8689510668390419</v>
      </c>
      <c r="Q16" s="3">
        <f t="shared" si="0"/>
        <v>2.2210551885019081</v>
      </c>
      <c r="R16" s="1"/>
      <c r="S16" s="3">
        <f t="shared" si="3"/>
        <v>4.561652910625912</v>
      </c>
      <c r="T16" s="3">
        <f t="shared" si="1"/>
        <v>3.4929780902387928</v>
      </c>
      <c r="U16" s="3">
        <f t="shared" si="1"/>
        <v>4.9330861503712464</v>
      </c>
      <c r="V16" s="1"/>
      <c r="W16" s="1"/>
      <c r="X16" s="1"/>
      <c r="Y16" s="1"/>
    </row>
    <row r="17" spans="1:25" x14ac:dyDescent="0.3">
      <c r="A17" s="1" t="s">
        <v>17</v>
      </c>
      <c r="B17" s="2">
        <v>-12.5940903703559</v>
      </c>
      <c r="C17" s="2">
        <v>-0.42321865656232499</v>
      </c>
      <c r="D17" s="2">
        <v>-2.5285620063687002</v>
      </c>
      <c r="E17" s="2">
        <v>8.8736017220583593E-2</v>
      </c>
      <c r="F17" s="2">
        <v>6.3981769538196301E-2</v>
      </c>
      <c r="G17" s="2">
        <v>0.25401303953624299</v>
      </c>
      <c r="H17" s="2">
        <v>-12.5932647533793</v>
      </c>
      <c r="I17" s="2">
        <v>-0.42580007163762501</v>
      </c>
      <c r="J17" s="2">
        <v>-2.5262075924680198</v>
      </c>
      <c r="K17" s="2">
        <v>9.0062242635391199E-2</v>
      </c>
      <c r="L17" s="2">
        <v>6.6074982130119503E-2</v>
      </c>
      <c r="M17" s="2">
        <v>0.25418281349612099</v>
      </c>
      <c r="O17" s="3">
        <f t="shared" si="2"/>
        <v>0.82561697660032962</v>
      </c>
      <c r="P17" s="3">
        <f t="shared" si="0"/>
        <v>2.5814150753000198</v>
      </c>
      <c r="Q17" s="3">
        <f t="shared" si="0"/>
        <v>2.3544139006803633</v>
      </c>
      <c r="R17" s="1"/>
      <c r="S17" s="3">
        <f t="shared" si="3"/>
        <v>0.68164339205066926</v>
      </c>
      <c r="T17" s="3">
        <f t="shared" si="1"/>
        <v>6.6637037909862071</v>
      </c>
      <c r="U17" s="3">
        <f t="shared" si="1"/>
        <v>5.5432648157169231</v>
      </c>
      <c r="V17" s="1"/>
      <c r="W17" s="1"/>
      <c r="X17" s="1"/>
      <c r="Y17" s="1"/>
    </row>
    <row r="18" spans="1:25" x14ac:dyDescent="0.3">
      <c r="A18" s="1" t="s">
        <v>18</v>
      </c>
      <c r="B18" s="2">
        <v>-12.807384798106</v>
      </c>
      <c r="C18" s="2">
        <v>-0.24914101947658099</v>
      </c>
      <c r="D18" s="2">
        <v>-11.3503233968126</v>
      </c>
      <c r="E18" s="2">
        <v>0.12805471733261001</v>
      </c>
      <c r="F18" s="2">
        <v>0.162429068872428</v>
      </c>
      <c r="G18" s="2">
        <v>0.50607210050198703</v>
      </c>
      <c r="H18" s="2">
        <v>-12.806477696372401</v>
      </c>
      <c r="I18" s="2">
        <v>-0.248953750618643</v>
      </c>
      <c r="J18" s="2">
        <v>-11.3521189834052</v>
      </c>
      <c r="K18" s="2">
        <v>0.12852022354961101</v>
      </c>
      <c r="L18" s="2">
        <v>0.16267569507160001</v>
      </c>
      <c r="M18" s="2">
        <v>0.50506648473548699</v>
      </c>
      <c r="O18" s="3">
        <f t="shared" si="2"/>
        <v>0.90710173359909163</v>
      </c>
      <c r="P18" s="3">
        <f t="shared" si="0"/>
        <v>0.18726885793798886</v>
      </c>
      <c r="Q18" s="3">
        <f t="shared" si="0"/>
        <v>1.7955865925998182</v>
      </c>
      <c r="R18" s="1"/>
      <c r="S18" s="3">
        <f t="shared" si="3"/>
        <v>0.82283355509847744</v>
      </c>
      <c r="T18" s="3">
        <f t="shared" si="1"/>
        <v>3.5069625153398655E-2</v>
      </c>
      <c r="U18" s="3">
        <f t="shared" si="1"/>
        <v>3.2241312115242255</v>
      </c>
      <c r="V18" s="1"/>
      <c r="W18" s="1"/>
      <c r="X18" s="1"/>
      <c r="Y18" s="1"/>
    </row>
    <row r="19" spans="1:25" x14ac:dyDescent="0.3">
      <c r="A19" s="1" t="s">
        <v>19</v>
      </c>
      <c r="B19" s="2">
        <v>-12.573509500916501</v>
      </c>
      <c r="C19" s="2">
        <v>-2.8354814484921702</v>
      </c>
      <c r="D19" s="2">
        <v>-3.3485225805736398</v>
      </c>
      <c r="E19" s="2">
        <v>0.11188649468964899</v>
      </c>
      <c r="F19" s="2">
        <v>0.138307160686757</v>
      </c>
      <c r="G19" s="2">
        <v>0.29063940373555902</v>
      </c>
      <c r="H19" s="2">
        <v>-12.5709810322835</v>
      </c>
      <c r="I19" s="2">
        <v>-2.82935826630712</v>
      </c>
      <c r="J19" s="2">
        <v>-3.3517346453080301</v>
      </c>
      <c r="K19" s="2">
        <v>0.112774221863504</v>
      </c>
      <c r="L19" s="2">
        <v>0.14009903597790099</v>
      </c>
      <c r="M19" s="2">
        <v>0.29102826753772698</v>
      </c>
      <c r="O19" s="3">
        <f t="shared" si="2"/>
        <v>2.5284686330007133</v>
      </c>
      <c r="P19" s="3">
        <f t="shared" si="0"/>
        <v>6.1231821850502577</v>
      </c>
      <c r="Q19" s="3">
        <f t="shared" si="0"/>
        <v>3.2120647343902853</v>
      </c>
      <c r="R19" s="1"/>
      <c r="S19" s="3">
        <f t="shared" si="3"/>
        <v>6.3931536280684957</v>
      </c>
      <c r="T19" s="3">
        <f t="shared" si="1"/>
        <v>37.49336007131685</v>
      </c>
      <c r="U19" s="3">
        <f t="shared" si="1"/>
        <v>10.317359857913734</v>
      </c>
      <c r="V19" s="1"/>
      <c r="W19" s="1"/>
      <c r="X19" s="1"/>
      <c r="Y19" s="1"/>
    </row>
    <row r="20" spans="1:25" x14ac:dyDescent="0.3">
      <c r="A20" s="1" t="s">
        <v>20</v>
      </c>
      <c r="B20" s="2">
        <v>-11.9084216919374</v>
      </c>
      <c r="C20" s="2">
        <v>0.267422025094741</v>
      </c>
      <c r="D20" s="2">
        <v>-3.2291331039079201</v>
      </c>
      <c r="E20" s="2">
        <v>7.4395888425873996E-2</v>
      </c>
      <c r="F20" s="2">
        <v>9.8313603684275802E-2</v>
      </c>
      <c r="G20" s="2">
        <v>0.174536717793288</v>
      </c>
      <c r="H20" s="2">
        <v>-11.9077418120633</v>
      </c>
      <c r="I20" s="2">
        <v>0.26743057745208798</v>
      </c>
      <c r="J20" s="2">
        <v>-3.2289786992048501</v>
      </c>
      <c r="K20" s="2">
        <v>7.4759939903406195E-2</v>
      </c>
      <c r="L20" s="2">
        <v>9.8294785659494704E-2</v>
      </c>
      <c r="M20" s="2">
        <v>0.17453111956950201</v>
      </c>
      <c r="O20" s="3">
        <f t="shared" si="2"/>
        <v>0.67987987410056405</v>
      </c>
      <c r="P20" s="3">
        <f t="shared" si="0"/>
        <v>8.5523573469803438E-3</v>
      </c>
      <c r="Q20" s="3">
        <f t="shared" si="0"/>
        <v>0.15440470306993248</v>
      </c>
      <c r="R20" s="1"/>
      <c r="S20" s="3">
        <f t="shared" si="3"/>
        <v>0.46223664320699881</v>
      </c>
      <c r="T20" s="3">
        <f t="shared" si="1"/>
        <v>7.3142816190448668E-5</v>
      </c>
      <c r="U20" s="3">
        <f t="shared" si="1"/>
        <v>2.3840812330114015E-2</v>
      </c>
      <c r="V20" s="1"/>
      <c r="W20" s="1"/>
      <c r="X20" s="1"/>
      <c r="Y20" s="1"/>
    </row>
    <row r="21" spans="1:25" x14ac:dyDescent="0.3">
      <c r="A21" s="1" t="s">
        <v>21</v>
      </c>
      <c r="B21" s="2">
        <v>-13.643247525106499</v>
      </c>
      <c r="C21" s="2">
        <v>-2.4050382896823801</v>
      </c>
      <c r="D21" s="2">
        <v>-2.8984820681741499</v>
      </c>
      <c r="E21" s="2">
        <v>0.102423869899379</v>
      </c>
      <c r="F21" s="2">
        <v>0.12971779017212501</v>
      </c>
      <c r="G21" s="2">
        <v>0.46146389627379403</v>
      </c>
      <c r="H21" s="2">
        <v>-13.6388593275723</v>
      </c>
      <c r="I21" s="2">
        <v>-2.40242992448926</v>
      </c>
      <c r="J21" s="2">
        <v>-2.9062749007791</v>
      </c>
      <c r="K21" s="2">
        <v>0.10286235289149</v>
      </c>
      <c r="L21" s="2">
        <v>0.130005772734367</v>
      </c>
      <c r="M21" s="2">
        <v>0.46391221404767902</v>
      </c>
      <c r="O21" s="3">
        <f t="shared" si="2"/>
        <v>4.3881975341992785</v>
      </c>
      <c r="P21" s="3">
        <f t="shared" si="0"/>
        <v>2.6083651931201324</v>
      </c>
      <c r="Q21" s="3">
        <f t="shared" si="0"/>
        <v>7.7928326049501173</v>
      </c>
      <c r="R21" s="1"/>
      <c r="S21" s="3">
        <f t="shared" si="3"/>
        <v>19.256277599152629</v>
      </c>
      <c r="T21" s="3">
        <f t="shared" si="1"/>
        <v>6.8035689806806259</v>
      </c>
      <c r="U21" s="3">
        <f t="shared" si="1"/>
        <v>60.728240008773632</v>
      </c>
      <c r="V21" s="1"/>
      <c r="W21" s="1"/>
      <c r="X21" s="1"/>
      <c r="Y21" s="1"/>
    </row>
    <row r="22" spans="1:25" x14ac:dyDescent="0.3">
      <c r="A22" s="1" t="s">
        <v>22</v>
      </c>
      <c r="B22" s="2">
        <v>-12.430006856535901</v>
      </c>
      <c r="C22" s="2">
        <v>-2.0553117627617201</v>
      </c>
      <c r="D22" s="2">
        <v>-1.6609403860647201</v>
      </c>
      <c r="E22" s="2">
        <v>6.1511975619287201E-2</v>
      </c>
      <c r="F22" s="2">
        <v>8.8932511027329603E-2</v>
      </c>
      <c r="G22" s="2">
        <v>0.20423113070575499</v>
      </c>
      <c r="H22" s="2">
        <v>-12.429881560561</v>
      </c>
      <c r="I22" s="2">
        <v>-2.0521009287048302</v>
      </c>
      <c r="J22" s="2">
        <v>-1.66008245297829</v>
      </c>
      <c r="K22" s="2">
        <v>6.1510929519186401E-2</v>
      </c>
      <c r="L22" s="2">
        <v>9.1038251940855297E-2</v>
      </c>
      <c r="M22" s="2">
        <v>0.20425142952238101</v>
      </c>
      <c r="O22" s="3">
        <f t="shared" si="2"/>
        <v>0.12529597490029687</v>
      </c>
      <c r="P22" s="3">
        <f t="shared" si="0"/>
        <v>3.210834056889933</v>
      </c>
      <c r="Q22" s="3">
        <f t="shared" si="0"/>
        <v>0.85793308643000721</v>
      </c>
      <c r="R22" s="1"/>
      <c r="S22" s="3">
        <f t="shared" si="3"/>
        <v>1.5699081326215822E-2</v>
      </c>
      <c r="T22" s="3">
        <f t="shared" si="1"/>
        <v>10.309455340884265</v>
      </c>
      <c r="U22" s="3">
        <f t="shared" si="1"/>
        <v>0.7360491807913182</v>
      </c>
      <c r="V22" s="1"/>
      <c r="W22" s="1"/>
      <c r="X22" s="1"/>
      <c r="Y22" s="1"/>
    </row>
    <row r="23" spans="1:25" x14ac:dyDescent="0.3">
      <c r="A23" s="1" t="s">
        <v>23</v>
      </c>
      <c r="B23" s="2">
        <v>-12.4859988220279</v>
      </c>
      <c r="C23" s="2">
        <v>-0.58838215698512597</v>
      </c>
      <c r="D23" s="2">
        <v>-2.6697820140222701</v>
      </c>
      <c r="E23" s="2">
        <v>6.8363183393900004E-2</v>
      </c>
      <c r="F23" s="2">
        <v>8.6600247122801899E-2</v>
      </c>
      <c r="G23" s="2">
        <v>0.26005261297154098</v>
      </c>
      <c r="H23" s="2">
        <v>-12.4846770693162</v>
      </c>
      <c r="I23" s="2">
        <v>-0.584245694074496</v>
      </c>
      <c r="J23" s="2">
        <v>-2.6702028767620201</v>
      </c>
      <c r="K23" s="2">
        <v>6.8483603754615402E-2</v>
      </c>
      <c r="L23" s="2">
        <v>8.7659331147865893E-2</v>
      </c>
      <c r="M23" s="2">
        <v>0.26052340234161703</v>
      </c>
      <c r="O23" s="3">
        <f t="shared" si="2"/>
        <v>1.3217527116999861</v>
      </c>
      <c r="P23" s="3">
        <f t="shared" si="0"/>
        <v>4.1364629106299677</v>
      </c>
      <c r="Q23" s="3">
        <f t="shared" si="0"/>
        <v>0.42086273974994981</v>
      </c>
      <c r="R23" s="1"/>
      <c r="S23" s="3">
        <f t="shared" si="3"/>
        <v>1.7470302308862666</v>
      </c>
      <c r="T23" s="3">
        <f t="shared" si="1"/>
        <v>17.110325411017346</v>
      </c>
      <c r="U23" s="3">
        <f t="shared" si="1"/>
        <v>0.17712544570983399</v>
      </c>
      <c r="V23" s="1"/>
      <c r="W23" s="1"/>
      <c r="X23" s="1"/>
      <c r="Y23" s="1"/>
    </row>
    <row r="24" spans="1:25" x14ac:dyDescent="0.3">
      <c r="A24" s="1" t="s">
        <v>24</v>
      </c>
      <c r="B24" s="2">
        <v>-12.919817075182101</v>
      </c>
      <c r="C24" s="2">
        <v>-1.6075548894548599</v>
      </c>
      <c r="D24" s="2">
        <v>1.3683136943380001</v>
      </c>
      <c r="E24" s="2">
        <v>0.146186633370991</v>
      </c>
      <c r="F24" s="2">
        <v>9.2531465649961397E-2</v>
      </c>
      <c r="G24" s="2">
        <v>0.41619921827969802</v>
      </c>
      <c r="H24" s="2">
        <v>-12.9209205585119</v>
      </c>
      <c r="I24" s="2">
        <v>-1.6131717786937101</v>
      </c>
      <c r="J24" s="2">
        <v>1.3767777081572401</v>
      </c>
      <c r="K24" s="2">
        <v>0.14717685144228701</v>
      </c>
      <c r="L24" s="2">
        <v>9.6076054706745698E-2</v>
      </c>
      <c r="M24" s="2">
        <v>0.419151021158155</v>
      </c>
      <c r="O24" s="3">
        <f t="shared" si="2"/>
        <v>1.1034833297998148</v>
      </c>
      <c r="P24" s="3">
        <f t="shared" si="0"/>
        <v>5.6168892388501757</v>
      </c>
      <c r="Q24" s="3">
        <f t="shared" si="0"/>
        <v>8.4640138192400016</v>
      </c>
      <c r="R24" s="1"/>
      <c r="S24" s="3">
        <f t="shared" si="3"/>
        <v>1.2176754591460868</v>
      </c>
      <c r="T24" s="3">
        <f t="shared" si="1"/>
        <v>31.549444721510906</v>
      </c>
      <c r="U24" s="3">
        <f t="shared" si="1"/>
        <v>71.639529932285726</v>
      </c>
      <c r="V24" s="1"/>
      <c r="W24" s="1"/>
      <c r="X24" s="1"/>
      <c r="Y24" s="1"/>
    </row>
    <row r="25" spans="1:25" x14ac:dyDescent="0.3">
      <c r="A25" s="1" t="s">
        <v>25</v>
      </c>
      <c r="B25" s="2">
        <v>-12.736125241705601</v>
      </c>
      <c r="C25" s="2">
        <v>-0.35746253420788898</v>
      </c>
      <c r="D25" s="2">
        <v>-1.8254156727304101</v>
      </c>
      <c r="E25" s="2">
        <v>7.1740068539369595E-2</v>
      </c>
      <c r="F25" s="2">
        <v>8.0765116120711994E-2</v>
      </c>
      <c r="G25" s="2">
        <v>0.229197981874807</v>
      </c>
      <c r="H25" s="2">
        <v>-12.735384546979599</v>
      </c>
      <c r="I25" s="2">
        <v>-0.35643672795405501</v>
      </c>
      <c r="J25" s="2">
        <v>-1.83092856789636</v>
      </c>
      <c r="K25" s="2">
        <v>7.1886587767787405E-2</v>
      </c>
      <c r="L25" s="2">
        <v>8.0951751023628296E-2</v>
      </c>
      <c r="M25" s="2">
        <v>0.22981058191832901</v>
      </c>
      <c r="O25" s="3">
        <f t="shared" si="2"/>
        <v>0.74069472600157837</v>
      </c>
      <c r="P25" s="3">
        <f t="shared" si="0"/>
        <v>1.0258062538339718</v>
      </c>
      <c r="Q25" s="3">
        <f t="shared" si="0"/>
        <v>5.5128951659499936</v>
      </c>
      <c r="R25" s="1"/>
      <c r="S25" s="3">
        <f t="shared" si="3"/>
        <v>0.54862867712655328</v>
      </c>
      <c r="T25" s="3">
        <f t="shared" si="1"/>
        <v>1.0522784704048871</v>
      </c>
      <c r="U25" s="3">
        <f t="shared" si="1"/>
        <v>30.392013110754807</v>
      </c>
      <c r="V25" s="1"/>
      <c r="W25" s="1"/>
      <c r="X25" s="1"/>
      <c r="Y25" s="1"/>
    </row>
    <row r="26" spans="1:25" x14ac:dyDescent="0.3">
      <c r="A26" s="1" t="s">
        <v>26</v>
      </c>
      <c r="B26" s="2">
        <v>-12.500056266266901</v>
      </c>
      <c r="C26" s="2">
        <v>-0.54095218882116902</v>
      </c>
      <c r="D26" s="2">
        <v>-1.41685209244571</v>
      </c>
      <c r="E26" s="2">
        <v>9.2135405621007097E-2</v>
      </c>
      <c r="F26" s="2">
        <v>9.4579016166578503E-2</v>
      </c>
      <c r="G26" s="2">
        <v>0.25199947130395001</v>
      </c>
      <c r="H26" s="2">
        <v>-12.499167686083799</v>
      </c>
      <c r="I26" s="2">
        <v>-0.54173068475623298</v>
      </c>
      <c r="J26" s="2">
        <v>-1.4181770941869001</v>
      </c>
      <c r="K26" s="2">
        <v>9.2621319873893104E-2</v>
      </c>
      <c r="L26" s="2">
        <v>9.5057232697532204E-2</v>
      </c>
      <c r="M26" s="2">
        <v>0.25208267807052298</v>
      </c>
      <c r="O26" s="3">
        <f t="shared" si="2"/>
        <v>0.88858018310133957</v>
      </c>
      <c r="P26" s="3">
        <f t="shared" si="0"/>
        <v>0.77849593506396086</v>
      </c>
      <c r="Q26" s="3">
        <f t="shared" si="0"/>
        <v>1.3250017411901016</v>
      </c>
      <c r="R26" s="1"/>
      <c r="S26" s="3">
        <f t="shared" si="3"/>
        <v>0.78957474180041021</v>
      </c>
      <c r="T26" s="3">
        <f t="shared" si="1"/>
        <v>0.60605592091111082</v>
      </c>
      <c r="U26" s="3">
        <f t="shared" si="1"/>
        <v>1.7556296141568011</v>
      </c>
      <c r="V26" s="1"/>
      <c r="W26" s="1"/>
      <c r="X26" s="1"/>
      <c r="Y26" s="1"/>
    </row>
    <row r="27" spans="1:25" x14ac:dyDescent="0.3">
      <c r="A27" s="1" t="s">
        <v>27</v>
      </c>
      <c r="B27" s="2">
        <v>-12.937302742710701</v>
      </c>
      <c r="C27" s="2">
        <v>-1.7305014868627799</v>
      </c>
      <c r="D27" s="2">
        <v>-0.49953369665074498</v>
      </c>
      <c r="E27" s="2">
        <v>6.0876695249855499E-2</v>
      </c>
      <c r="F27" s="2">
        <v>5.3997904632416299E-2</v>
      </c>
      <c r="G27" s="2">
        <v>0.17678449246154801</v>
      </c>
      <c r="H27" s="2">
        <v>-12.936748036172199</v>
      </c>
      <c r="I27" s="2">
        <v>-1.73098935424708</v>
      </c>
      <c r="J27" s="2">
        <v>-0.49845175256112001</v>
      </c>
      <c r="K27" s="2">
        <v>6.09760206627879E-2</v>
      </c>
      <c r="L27" s="2">
        <v>5.4118695643263298E-2</v>
      </c>
      <c r="M27" s="2">
        <v>0.17689602467773899</v>
      </c>
      <c r="O27" s="3">
        <f t="shared" si="2"/>
        <v>0.55470653850164808</v>
      </c>
      <c r="P27" s="3">
        <f t="shared" si="0"/>
        <v>0.48786738430006693</v>
      </c>
      <c r="Q27" s="3">
        <f t="shared" si="0"/>
        <v>1.0819440896249755</v>
      </c>
      <c r="R27" s="1"/>
      <c r="S27" s="3">
        <f t="shared" si="3"/>
        <v>0.3076993438564804</v>
      </c>
      <c r="T27" s="3">
        <f t="shared" si="1"/>
        <v>0.23801458466378919</v>
      </c>
      <c r="U27" s="3">
        <f t="shared" si="1"/>
        <v>1.1706030130744169</v>
      </c>
      <c r="V27" s="1"/>
      <c r="W27" s="1"/>
      <c r="X27" s="1"/>
      <c r="Y27" s="1"/>
    </row>
    <row r="28" spans="1:25" x14ac:dyDescent="0.3">
      <c r="A28" s="1" t="s">
        <v>28</v>
      </c>
      <c r="B28" s="2">
        <v>-12.053566794363601</v>
      </c>
      <c r="C28" s="2">
        <v>1.1168332985574001</v>
      </c>
      <c r="D28" s="2">
        <v>1.2782847898220899</v>
      </c>
      <c r="E28" s="2">
        <v>0.20514979397167299</v>
      </c>
      <c r="F28" s="2">
        <v>0.14601796963088701</v>
      </c>
      <c r="G28" s="2">
        <v>0.49076076568298799</v>
      </c>
      <c r="H28" s="2">
        <v>-12.0505139298534</v>
      </c>
      <c r="I28" s="2">
        <v>1.1170975589105401</v>
      </c>
      <c r="J28" s="2">
        <v>1.28249665299658</v>
      </c>
      <c r="K28" s="2">
        <v>0.20560178645118601</v>
      </c>
      <c r="L28" s="2">
        <v>0.14603542863855201</v>
      </c>
      <c r="M28" s="2">
        <v>0.49130136824353499</v>
      </c>
      <c r="O28" s="3">
        <f t="shared" si="2"/>
        <v>3.0528645102005925</v>
      </c>
      <c r="P28" s="3">
        <f t="shared" si="0"/>
        <v>0.26426035313997787</v>
      </c>
      <c r="Q28" s="3">
        <f t="shared" si="0"/>
        <v>4.2118631744900714</v>
      </c>
      <c r="R28" s="1"/>
      <c r="S28" s="3">
        <f t="shared" si="3"/>
        <v>9.3199817176423032</v>
      </c>
      <c r="T28" s="3">
        <f t="shared" si="1"/>
        <v>6.9833534241665815E-2</v>
      </c>
      <c r="U28" s="3">
        <f t="shared" si="1"/>
        <v>17.739791400625581</v>
      </c>
      <c r="V28" s="1"/>
      <c r="W28" s="1"/>
      <c r="X28" s="1"/>
      <c r="Y28" s="1"/>
    </row>
    <row r="29" spans="1:25" x14ac:dyDescent="0.3">
      <c r="A29" s="1" t="s">
        <v>29</v>
      </c>
      <c r="B29" s="2">
        <v>-12.694402509486499</v>
      </c>
      <c r="C29" s="2">
        <v>-1.01955513116518</v>
      </c>
      <c r="D29" s="2">
        <v>-1.16992023374285</v>
      </c>
      <c r="E29" s="2">
        <v>6.9752771286217097E-2</v>
      </c>
      <c r="F29" s="2">
        <v>0.109305948353497</v>
      </c>
      <c r="G29" s="2">
        <v>0.192720981250875</v>
      </c>
      <c r="H29" s="2">
        <v>-12.692456420743399</v>
      </c>
      <c r="I29" s="2">
        <v>-1.02020616857602</v>
      </c>
      <c r="J29" s="2">
        <v>-1.1716298362827799</v>
      </c>
      <c r="K29" s="2">
        <v>6.9982152248938195E-2</v>
      </c>
      <c r="L29" s="2">
        <v>0.110243748617413</v>
      </c>
      <c r="M29" s="2">
        <v>0.19264719063966601</v>
      </c>
      <c r="O29" s="3">
        <f t="shared" si="2"/>
        <v>1.946088743100205</v>
      </c>
      <c r="P29" s="3">
        <f t="shared" si="0"/>
        <v>0.6510374108399386</v>
      </c>
      <c r="Q29" s="3">
        <f t="shared" si="0"/>
        <v>1.7096025399299108</v>
      </c>
      <c r="R29" s="1"/>
      <c r="S29" s="3">
        <f t="shared" si="3"/>
        <v>3.7872613960213357</v>
      </c>
      <c r="T29" s="3">
        <f t="shared" si="1"/>
        <v>0.42384971031317098</v>
      </c>
      <c r="U29" s="3">
        <f t="shared" si="1"/>
        <v>2.9227408445348022</v>
      </c>
      <c r="V29" s="1"/>
      <c r="W29" s="1"/>
      <c r="X29" s="1"/>
      <c r="Y29" s="1"/>
    </row>
    <row r="30" spans="1:25" x14ac:dyDescent="0.3">
      <c r="A30" s="1" t="s">
        <v>30</v>
      </c>
      <c r="B30" s="2">
        <v>-13.2460640646367</v>
      </c>
      <c r="C30" s="2">
        <v>-0.92947905060895797</v>
      </c>
      <c r="D30" s="2">
        <v>-2.33099507470657</v>
      </c>
      <c r="E30" s="2">
        <v>0.10249485649795299</v>
      </c>
      <c r="F30" s="2">
        <v>8.4607560475966098E-2</v>
      </c>
      <c r="G30" s="2">
        <v>0.28092672994135198</v>
      </c>
      <c r="H30" s="2">
        <v>-13.245545373463401</v>
      </c>
      <c r="I30" s="2">
        <v>-0.92931273043337603</v>
      </c>
      <c r="J30" s="2">
        <v>-2.33097087588229</v>
      </c>
      <c r="K30" s="2">
        <v>0.102323843500668</v>
      </c>
      <c r="L30" s="2">
        <v>8.5466527212725393E-2</v>
      </c>
      <c r="M30" s="2">
        <v>0.28050038807237199</v>
      </c>
      <c r="O30" s="3">
        <f t="shared" si="2"/>
        <v>0.51869117329950143</v>
      </c>
      <c r="P30" s="3">
        <f t="shared" si="0"/>
        <v>0.16632017558193546</v>
      </c>
      <c r="Q30" s="3">
        <f t="shared" si="0"/>
        <v>2.4198824279952902E-2</v>
      </c>
      <c r="R30" s="1"/>
      <c r="S30" s="3">
        <f t="shared" si="3"/>
        <v>0.26904053325881344</v>
      </c>
      <c r="T30" s="3">
        <f t="shared" si="1"/>
        <v>2.7662400805605839E-2</v>
      </c>
      <c r="U30" s="3">
        <f t="shared" si="1"/>
        <v>5.8558309653203809E-4</v>
      </c>
      <c r="V30" s="1"/>
      <c r="W30" s="1"/>
      <c r="X30" s="1"/>
      <c r="Y30" s="1"/>
    </row>
    <row r="31" spans="1:25" x14ac:dyDescent="0.3">
      <c r="A31" s="1" t="s">
        <v>31</v>
      </c>
      <c r="B31" s="2">
        <v>-12.1723826981189</v>
      </c>
      <c r="C31" s="2">
        <v>-0.62643937385659898</v>
      </c>
      <c r="D31" s="2">
        <v>-1.3569828808189801</v>
      </c>
      <c r="E31" s="2">
        <v>5.03379247853512E-2</v>
      </c>
      <c r="F31" s="2">
        <v>5.2648448499876897E-2</v>
      </c>
      <c r="G31" s="2">
        <v>0.15159917388053601</v>
      </c>
      <c r="H31" s="2">
        <v>-12.1713797040091</v>
      </c>
      <c r="I31" s="2">
        <v>-0.62610266326507802</v>
      </c>
      <c r="J31" s="2">
        <v>-1.3584735648722399</v>
      </c>
      <c r="K31" s="2">
        <v>5.0521666277409498E-2</v>
      </c>
      <c r="L31" s="2">
        <v>5.2891982723896398E-2</v>
      </c>
      <c r="M31" s="2">
        <v>0.15171627572900701</v>
      </c>
      <c r="O31" s="3">
        <f t="shared" si="2"/>
        <v>1.0029941098004258</v>
      </c>
      <c r="P31" s="3">
        <f t="shared" si="0"/>
        <v>0.33671059152096117</v>
      </c>
      <c r="Q31" s="3">
        <f t="shared" si="0"/>
        <v>1.4906840532598054</v>
      </c>
      <c r="R31" s="1"/>
      <c r="S31" s="3">
        <f t="shared" si="3"/>
        <v>1.0059971842943487</v>
      </c>
      <c r="T31" s="3">
        <f t="shared" si="1"/>
        <v>0.11337402244239557</v>
      </c>
      <c r="U31" s="3">
        <f t="shared" si="1"/>
        <v>2.2221389466430823</v>
      </c>
      <c r="V31" s="1"/>
      <c r="W31" s="1"/>
      <c r="X31" s="1"/>
      <c r="Y31" s="1"/>
    </row>
    <row r="32" spans="1:25" x14ac:dyDescent="0.3">
      <c r="A32" s="1" t="s">
        <v>32</v>
      </c>
      <c r="B32" s="2">
        <v>-11.567931812748</v>
      </c>
      <c r="C32" s="2">
        <v>-1.2633220018740401</v>
      </c>
      <c r="D32" s="2">
        <v>-1.28822854701631</v>
      </c>
      <c r="E32" s="2">
        <v>0.11786145438178799</v>
      </c>
      <c r="F32" s="2">
        <v>0.25991685690059102</v>
      </c>
      <c r="G32" s="2">
        <v>0.52236341837617695</v>
      </c>
      <c r="H32" s="2">
        <v>-11.5689892303446</v>
      </c>
      <c r="I32" s="2">
        <v>-1.2621672522951699</v>
      </c>
      <c r="J32" s="2">
        <v>-1.2912083343241501</v>
      </c>
      <c r="K32" s="2">
        <v>0.117850406763779</v>
      </c>
      <c r="L32" s="2">
        <v>0.259995443136324</v>
      </c>
      <c r="M32" s="2">
        <v>0.52260419875291797</v>
      </c>
      <c r="O32" s="3">
        <f t="shared" si="2"/>
        <v>1.0574175966002741</v>
      </c>
      <c r="P32" s="3">
        <f t="shared" si="0"/>
        <v>1.1547495788701845</v>
      </c>
      <c r="Q32" s="3">
        <f t="shared" si="0"/>
        <v>2.9797873078400983</v>
      </c>
      <c r="R32" s="1"/>
      <c r="S32" s="3">
        <f t="shared" si="3"/>
        <v>1.1181319735999</v>
      </c>
      <c r="T32" s="3">
        <f t="shared" si="1"/>
        <v>1.3334465899008685</v>
      </c>
      <c r="U32" s="3">
        <f t="shared" si="1"/>
        <v>8.8791323999649414</v>
      </c>
      <c r="V32" s="1"/>
      <c r="W32" s="1"/>
      <c r="X32" s="1"/>
      <c r="Y32" s="1"/>
    </row>
    <row r="33" spans="1:25" x14ac:dyDescent="0.3">
      <c r="A33" s="1" t="s">
        <v>33</v>
      </c>
      <c r="B33" s="2">
        <v>-12.278638141255</v>
      </c>
      <c r="C33" s="2">
        <v>0.25479770404324797</v>
      </c>
      <c r="D33" s="2">
        <v>1.9226634255194801</v>
      </c>
      <c r="E33" s="2">
        <v>0.13857873566904699</v>
      </c>
      <c r="F33" s="2">
        <v>0.139733238276539</v>
      </c>
      <c r="G33" s="2">
        <v>0.48706900583246998</v>
      </c>
      <c r="H33" s="2">
        <v>-12.2798796906871</v>
      </c>
      <c r="I33" s="2">
        <v>0.25808920489727699</v>
      </c>
      <c r="J33" s="2">
        <v>1.91935543789548</v>
      </c>
      <c r="K33" s="2">
        <v>0.13901109975231599</v>
      </c>
      <c r="L33" s="2">
        <v>0.14092883339079099</v>
      </c>
      <c r="M33" s="2">
        <v>0.48659864630509397</v>
      </c>
      <c r="O33" s="3">
        <f t="shared" si="2"/>
        <v>1.2415494321000864</v>
      </c>
      <c r="P33" s="3">
        <f t="shared" si="0"/>
        <v>3.2915008540290169</v>
      </c>
      <c r="Q33" s="3">
        <f t="shared" si="0"/>
        <v>3.3079876240000861</v>
      </c>
      <c r="R33" s="1"/>
      <c r="S33" s="3">
        <f t="shared" si="3"/>
        <v>1.5414449923480471</v>
      </c>
      <c r="T33" s="3">
        <f t="shared" si="1"/>
        <v>10.833977872073747</v>
      </c>
      <c r="U33" s="3">
        <f t="shared" si="1"/>
        <v>10.942782120537736</v>
      </c>
      <c r="V33" s="1"/>
      <c r="W33" s="1"/>
      <c r="X33" s="1"/>
      <c r="Y33" s="1"/>
    </row>
    <row r="34" spans="1:25" x14ac:dyDescent="0.3">
      <c r="A34" s="1" t="s">
        <v>34</v>
      </c>
      <c r="B34" s="2">
        <v>-12.644261192336099</v>
      </c>
      <c r="C34" s="2">
        <v>-1.38726841027293</v>
      </c>
      <c r="D34" s="2">
        <v>-1.1995384156878</v>
      </c>
      <c r="E34" s="2">
        <v>6.0824127102805901E-2</v>
      </c>
      <c r="F34" s="2">
        <v>7.3444080463745398E-2</v>
      </c>
      <c r="G34" s="2">
        <v>0.19766462437336901</v>
      </c>
      <c r="H34" s="2">
        <v>-12.6404641210477</v>
      </c>
      <c r="I34" s="2">
        <v>-1.3893257180808001</v>
      </c>
      <c r="J34" s="2">
        <v>-1.2021689419333801</v>
      </c>
      <c r="K34" s="2">
        <v>6.0992625337564103E-2</v>
      </c>
      <c r="L34" s="2">
        <v>7.3759213793773398E-2</v>
      </c>
      <c r="M34" s="2">
        <v>0.19777874083005401</v>
      </c>
      <c r="O34" s="3">
        <f t="shared" si="2"/>
        <v>3.7970712883996782</v>
      </c>
      <c r="P34" s="3">
        <f t="shared" si="0"/>
        <v>2.0573078078700568</v>
      </c>
      <c r="Q34" s="3">
        <f t="shared" si="0"/>
        <v>2.6305262455801337</v>
      </c>
      <c r="R34" s="1"/>
      <c r="S34" s="3">
        <f t="shared" si="3"/>
        <v>14.417750369189193</v>
      </c>
      <c r="T34" s="3">
        <f t="shared" si="1"/>
        <v>4.2325154163230989</v>
      </c>
      <c r="U34" s="3">
        <f t="shared" si="1"/>
        <v>6.9196683286859137</v>
      </c>
      <c r="V34" s="1"/>
      <c r="W34" s="1"/>
      <c r="X34" s="1"/>
      <c r="Y34" s="1"/>
    </row>
    <row r="35" spans="1:25" x14ac:dyDescent="0.3">
      <c r="A35" s="1" t="s">
        <v>35</v>
      </c>
      <c r="B35" s="2">
        <v>-11.683606463446299</v>
      </c>
      <c r="C35" s="2">
        <v>-1.9088317017816401</v>
      </c>
      <c r="D35" s="2">
        <v>-2.5067326568851298</v>
      </c>
      <c r="E35" s="2">
        <v>8.0741544618670794E-2</v>
      </c>
      <c r="F35" s="2">
        <v>6.3007585844910993E-2</v>
      </c>
      <c r="G35" s="2">
        <v>0.24004654882767501</v>
      </c>
      <c r="H35" s="2">
        <v>-11.683632039395199</v>
      </c>
      <c r="I35" s="2">
        <v>-1.9091587264709899</v>
      </c>
      <c r="J35" s="2">
        <v>-2.5022549004739898</v>
      </c>
      <c r="K35" s="2">
        <v>8.0768785448588301E-2</v>
      </c>
      <c r="L35" s="2">
        <v>6.3118995583913304E-2</v>
      </c>
      <c r="M35" s="2">
        <v>0.24035863131915</v>
      </c>
      <c r="O35" s="3">
        <f t="shared" si="2"/>
        <v>2.5575948900069534E-2</v>
      </c>
      <c r="P35" s="3">
        <f t="shared" si="0"/>
        <v>0.32702468934986406</v>
      </c>
      <c r="Q35" s="3">
        <f t="shared" si="0"/>
        <v>4.4777564111400103</v>
      </c>
      <c r="R35" s="1"/>
      <c r="S35" s="3">
        <f t="shared" si="3"/>
        <v>6.5412916213896798E-4</v>
      </c>
      <c r="T35" s="3">
        <f t="shared" si="1"/>
        <v>0.1069451474443751</v>
      </c>
      <c r="U35" s="3">
        <f t="shared" si="1"/>
        <v>20.050302477505465</v>
      </c>
      <c r="V35" s="1"/>
      <c r="W35" s="1"/>
      <c r="X35" s="1"/>
      <c r="Y35" s="1"/>
    </row>
    <row r="36" spans="1:25" x14ac:dyDescent="0.3">
      <c r="A36" s="1" t="s">
        <v>36</v>
      </c>
      <c r="B36" s="2">
        <v>-13.165970927263301</v>
      </c>
      <c r="C36" s="2">
        <v>-0.95934361889756103</v>
      </c>
      <c r="D36" s="2">
        <v>-1.3408126202108499</v>
      </c>
      <c r="E36" s="2">
        <v>5.7516820385771203E-2</v>
      </c>
      <c r="F36" s="2">
        <v>4.70559500022983E-2</v>
      </c>
      <c r="G36" s="2">
        <v>0.20082710289942399</v>
      </c>
      <c r="H36" s="2">
        <v>-13.165862233411399</v>
      </c>
      <c r="I36" s="2">
        <v>-0.95806697770830995</v>
      </c>
      <c r="J36" s="2">
        <v>-1.3387372426461499</v>
      </c>
      <c r="K36" s="2">
        <v>5.7503888323753201E-2</v>
      </c>
      <c r="L36" s="2">
        <v>4.7096237975189102E-2</v>
      </c>
      <c r="M36" s="2">
        <v>0.201108572008525</v>
      </c>
      <c r="O36" s="3">
        <f t="shared" si="2"/>
        <v>0.10869385190126479</v>
      </c>
      <c r="P36" s="3">
        <f t="shared" si="0"/>
        <v>1.2766411892510821</v>
      </c>
      <c r="Q36" s="3">
        <f t="shared" si="0"/>
        <v>2.0753775646999983</v>
      </c>
      <c r="R36" s="1"/>
      <c r="S36" s="3">
        <f t="shared" si="3"/>
        <v>1.1814353441134084E-2</v>
      </c>
      <c r="T36" s="3">
        <f t="shared" si="1"/>
        <v>1.6298127260924171</v>
      </c>
      <c r="U36" s="3">
        <f t="shared" si="1"/>
        <v>4.3071920360600959</v>
      </c>
      <c r="V36" s="1"/>
      <c r="W36" s="1"/>
      <c r="X36" s="1"/>
      <c r="Y36" s="1"/>
    </row>
    <row r="37" spans="1:25" x14ac:dyDescent="0.3">
      <c r="A37" s="1" t="s">
        <v>37</v>
      </c>
      <c r="B37" s="2">
        <v>-12.4606029989046</v>
      </c>
      <c r="C37" s="2">
        <v>-1.52509344311203</v>
      </c>
      <c r="D37" s="2">
        <v>-2.3801034953612299</v>
      </c>
      <c r="E37" s="2">
        <v>0.112250588553532</v>
      </c>
      <c r="F37" s="2">
        <v>0.20129129368288101</v>
      </c>
      <c r="G37" s="2">
        <v>0.33657063342024401</v>
      </c>
      <c r="H37" s="2">
        <v>-12.461580467327</v>
      </c>
      <c r="I37" s="2">
        <v>-1.52653350066206</v>
      </c>
      <c r="J37" s="2">
        <v>-2.37860808087121</v>
      </c>
      <c r="K37" s="2">
        <v>0.11235931289543</v>
      </c>
      <c r="L37" s="2">
        <v>0.20127172332818399</v>
      </c>
      <c r="M37" s="2">
        <v>0.33750318163392601</v>
      </c>
      <c r="O37" s="3">
        <f t="shared" si="2"/>
        <v>0.97746842240020726</v>
      </c>
      <c r="P37" s="3">
        <f t="shared" si="0"/>
        <v>1.4400575500299606</v>
      </c>
      <c r="Q37" s="3">
        <f t="shared" si="0"/>
        <v>1.4954144900198862</v>
      </c>
      <c r="R37" s="1"/>
      <c r="S37" s="3">
        <f t="shared" si="3"/>
        <v>0.95544451678955</v>
      </c>
      <c r="T37" s="3">
        <f t="shared" si="1"/>
        <v>2.0737657473982924</v>
      </c>
      <c r="U37" s="3">
        <f t="shared" si="1"/>
        <v>2.2362644969614363</v>
      </c>
      <c r="V37" s="1"/>
      <c r="W37" s="1"/>
      <c r="X37" s="1"/>
      <c r="Y37" s="1"/>
    </row>
    <row r="38" spans="1:25" x14ac:dyDescent="0.3">
      <c r="A38" s="1" t="s">
        <v>38</v>
      </c>
      <c r="B38" s="2">
        <v>-13.105606864917799</v>
      </c>
      <c r="C38" s="2">
        <v>-1.08695651159389</v>
      </c>
      <c r="D38" s="2">
        <v>-1.1050816303545901</v>
      </c>
      <c r="E38" s="2">
        <v>6.7363863482621994E-2</v>
      </c>
      <c r="F38" s="2">
        <v>8.7252844866388901E-2</v>
      </c>
      <c r="G38" s="2">
        <v>0.21954969930502399</v>
      </c>
      <c r="H38" s="2">
        <v>-13.105632074099701</v>
      </c>
      <c r="I38" s="2">
        <v>-1.0877888596918801</v>
      </c>
      <c r="J38" s="2">
        <v>-1.1054836796216301</v>
      </c>
      <c r="K38" s="2">
        <v>6.7387076617574496E-2</v>
      </c>
      <c r="L38" s="2">
        <v>8.7343159821831995E-2</v>
      </c>
      <c r="M38" s="2">
        <v>0.21960414768939901</v>
      </c>
      <c r="O38" s="3">
        <f t="shared" si="2"/>
        <v>2.5209181901075794E-2</v>
      </c>
      <c r="P38" s="3">
        <f t="shared" si="0"/>
        <v>0.8323480979901543</v>
      </c>
      <c r="Q38" s="3">
        <f t="shared" si="0"/>
        <v>0.40204926704001664</v>
      </c>
      <c r="R38" s="1"/>
      <c r="S38" s="3">
        <f t="shared" si="3"/>
        <v>6.3550285212152745E-4</v>
      </c>
      <c r="T38" s="3">
        <f t="shared" si="1"/>
        <v>0.69280335622782752</v>
      </c>
      <c r="U38" s="3">
        <f t="shared" si="1"/>
        <v>0.16164361312741463</v>
      </c>
      <c r="V38" s="1"/>
      <c r="W38" s="1"/>
      <c r="X38" s="1"/>
      <c r="Y38" s="1"/>
    </row>
    <row r="39" spans="1:25" x14ac:dyDescent="0.3">
      <c r="A39" s="1" t="s">
        <v>39</v>
      </c>
      <c r="B39" s="2">
        <v>-14.822557816279099</v>
      </c>
      <c r="C39" s="2">
        <v>-2.8994606881747398</v>
      </c>
      <c r="D39" s="2">
        <v>-1.9853461201120299</v>
      </c>
      <c r="E39" s="2">
        <v>0.201425325196951</v>
      </c>
      <c r="F39" s="2">
        <v>8.9096729811796602E-2</v>
      </c>
      <c r="G39" s="2">
        <v>0.23816865780383001</v>
      </c>
      <c r="H39" s="2">
        <v>-14.8231417319006</v>
      </c>
      <c r="I39" s="2">
        <v>-2.8995595690843601</v>
      </c>
      <c r="J39" s="2">
        <v>-1.98650096225258</v>
      </c>
      <c r="K39" s="2">
        <v>0.20160983759162801</v>
      </c>
      <c r="L39" s="2">
        <v>8.9124638925975497E-2</v>
      </c>
      <c r="M39" s="2">
        <v>0.23924741129900501</v>
      </c>
      <c r="O39" s="3">
        <f t="shared" si="2"/>
        <v>0.58391562150106324</v>
      </c>
      <c r="P39" s="3">
        <f t="shared" si="0"/>
        <v>9.8880909620291391E-2</v>
      </c>
      <c r="Q39" s="3">
        <f t="shared" si="0"/>
        <v>1.1548421405500608</v>
      </c>
      <c r="R39" s="1"/>
      <c r="S39" s="3">
        <f t="shared" si="3"/>
        <v>0.34095745303297292</v>
      </c>
      <c r="T39" s="3">
        <f t="shared" si="1"/>
        <v>9.7774342873362344E-3</v>
      </c>
      <c r="U39" s="3">
        <f t="shared" si="1"/>
        <v>1.3336603695902465</v>
      </c>
      <c r="V39" s="1"/>
      <c r="W39" s="1"/>
      <c r="X39" s="1"/>
      <c r="Y39" s="1"/>
    </row>
  </sheetData>
  <mergeCells count="6">
    <mergeCell ref="W1:Y1"/>
    <mergeCell ref="B1:G1"/>
    <mergeCell ref="H1:M1"/>
    <mergeCell ref="A1:A2"/>
    <mergeCell ref="O1:Q1"/>
    <mergeCell ref="S1:U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Louisiana_Velocity_Results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ugur gulsun</dc:creator>
  <cp:lastModifiedBy>ugur gulsun</cp:lastModifiedBy>
  <dcterms:created xsi:type="dcterms:W3CDTF">2026-06-09T11:53:21Z</dcterms:created>
  <dcterms:modified xsi:type="dcterms:W3CDTF">2026-06-09T12:30:55Z</dcterms:modified>
</cp:coreProperties>
</file>