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Project_Time Series\Stations\Nevada\"/>
    </mc:Choice>
  </mc:AlternateContent>
  <xr:revisionPtr revIDLastSave="0" documentId="13_ncr:1_{54745913-BDD5-4A9D-B05E-9440B21497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evada_Velocity_Results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3" i="1" l="1"/>
  <c r="U33" i="1" s="1"/>
  <c r="P33" i="1"/>
  <c r="T33" i="1" s="1"/>
  <c r="O33" i="1"/>
  <c r="S33" i="1" s="1"/>
  <c r="Q32" i="1"/>
  <c r="U32" i="1" s="1"/>
  <c r="P32" i="1"/>
  <c r="T32" i="1" s="1"/>
  <c r="O32" i="1"/>
  <c r="S32" i="1" s="1"/>
  <c r="Q31" i="1"/>
  <c r="U31" i="1" s="1"/>
  <c r="P31" i="1"/>
  <c r="T31" i="1" s="1"/>
  <c r="O31" i="1"/>
  <c r="S31" i="1" s="1"/>
  <c r="Q30" i="1"/>
  <c r="U30" i="1" s="1"/>
  <c r="P30" i="1"/>
  <c r="T30" i="1" s="1"/>
  <c r="O30" i="1"/>
  <c r="S30" i="1" s="1"/>
  <c r="Q29" i="1"/>
  <c r="U29" i="1" s="1"/>
  <c r="P29" i="1"/>
  <c r="T29" i="1" s="1"/>
  <c r="O29" i="1"/>
  <c r="S29" i="1" s="1"/>
  <c r="Q28" i="1"/>
  <c r="U28" i="1" s="1"/>
  <c r="P28" i="1"/>
  <c r="T28" i="1" s="1"/>
  <c r="O28" i="1"/>
  <c r="S28" i="1" s="1"/>
  <c r="Q27" i="1"/>
  <c r="U27" i="1" s="1"/>
  <c r="P27" i="1"/>
  <c r="T27" i="1" s="1"/>
  <c r="O27" i="1"/>
  <c r="S27" i="1" s="1"/>
  <c r="U26" i="1"/>
  <c r="Q26" i="1"/>
  <c r="P26" i="1"/>
  <c r="T26" i="1" s="1"/>
  <c r="O26" i="1"/>
  <c r="S26" i="1" s="1"/>
  <c r="Q25" i="1"/>
  <c r="U25" i="1" s="1"/>
  <c r="P25" i="1"/>
  <c r="T25" i="1" s="1"/>
  <c r="O25" i="1"/>
  <c r="S25" i="1" s="1"/>
  <c r="Q24" i="1"/>
  <c r="U24" i="1" s="1"/>
  <c r="P24" i="1"/>
  <c r="T24" i="1" s="1"/>
  <c r="O24" i="1"/>
  <c r="S24" i="1" s="1"/>
  <c r="Q23" i="1"/>
  <c r="U23" i="1" s="1"/>
  <c r="P23" i="1"/>
  <c r="T23" i="1" s="1"/>
  <c r="O23" i="1"/>
  <c r="S23" i="1" s="1"/>
  <c r="Q22" i="1"/>
  <c r="U22" i="1" s="1"/>
  <c r="P22" i="1"/>
  <c r="T22" i="1" s="1"/>
  <c r="O22" i="1"/>
  <c r="S22" i="1" s="1"/>
  <c r="Q21" i="1"/>
  <c r="U21" i="1" s="1"/>
  <c r="P21" i="1"/>
  <c r="T21" i="1" s="1"/>
  <c r="O21" i="1"/>
  <c r="S21" i="1" s="1"/>
  <c r="U20" i="1"/>
  <c r="Q20" i="1"/>
  <c r="P20" i="1"/>
  <c r="T20" i="1" s="1"/>
  <c r="O20" i="1"/>
  <c r="S20" i="1" s="1"/>
  <c r="Q19" i="1"/>
  <c r="U19" i="1" s="1"/>
  <c r="P19" i="1"/>
  <c r="T19" i="1" s="1"/>
  <c r="O19" i="1"/>
  <c r="S19" i="1" s="1"/>
  <c r="Q18" i="1"/>
  <c r="U18" i="1" s="1"/>
  <c r="P18" i="1"/>
  <c r="T18" i="1" s="1"/>
  <c r="O18" i="1"/>
  <c r="S18" i="1" s="1"/>
  <c r="Q17" i="1"/>
  <c r="U17" i="1" s="1"/>
  <c r="P17" i="1"/>
  <c r="T17" i="1" s="1"/>
  <c r="O17" i="1"/>
  <c r="S17" i="1" s="1"/>
  <c r="Q16" i="1"/>
  <c r="U16" i="1" s="1"/>
  <c r="P16" i="1"/>
  <c r="T16" i="1" s="1"/>
  <c r="O16" i="1"/>
  <c r="S16" i="1" s="1"/>
  <c r="Q15" i="1"/>
  <c r="U15" i="1" s="1"/>
  <c r="P15" i="1"/>
  <c r="T15" i="1" s="1"/>
  <c r="O15" i="1"/>
  <c r="S15" i="1" s="1"/>
  <c r="Q14" i="1"/>
  <c r="U14" i="1" s="1"/>
  <c r="P14" i="1"/>
  <c r="T14" i="1" s="1"/>
  <c r="O14" i="1"/>
  <c r="S14" i="1" s="1"/>
  <c r="Q13" i="1"/>
  <c r="U13" i="1" s="1"/>
  <c r="P13" i="1"/>
  <c r="T13" i="1" s="1"/>
  <c r="O13" i="1"/>
  <c r="S13" i="1" s="1"/>
  <c r="U12" i="1"/>
  <c r="Q12" i="1"/>
  <c r="P12" i="1"/>
  <c r="T12" i="1" s="1"/>
  <c r="O12" i="1"/>
  <c r="S12" i="1" s="1"/>
  <c r="Q11" i="1"/>
  <c r="U11" i="1" s="1"/>
  <c r="P11" i="1"/>
  <c r="T11" i="1" s="1"/>
  <c r="O11" i="1"/>
  <c r="S11" i="1" s="1"/>
  <c r="Q10" i="1"/>
  <c r="U10" i="1" s="1"/>
  <c r="P10" i="1"/>
  <c r="T10" i="1" s="1"/>
  <c r="O10" i="1"/>
  <c r="S10" i="1" s="1"/>
  <c r="Q9" i="1"/>
  <c r="U9" i="1" s="1"/>
  <c r="P9" i="1"/>
  <c r="T9" i="1" s="1"/>
  <c r="O9" i="1"/>
  <c r="S9" i="1" s="1"/>
  <c r="Q8" i="1"/>
  <c r="U8" i="1" s="1"/>
  <c r="P8" i="1"/>
  <c r="T8" i="1" s="1"/>
  <c r="O8" i="1"/>
  <c r="S8" i="1" s="1"/>
  <c r="Q7" i="1"/>
  <c r="U7" i="1" s="1"/>
  <c r="P7" i="1"/>
  <c r="T7" i="1" s="1"/>
  <c r="O7" i="1"/>
  <c r="S7" i="1" s="1"/>
  <c r="Q6" i="1"/>
  <c r="U6" i="1" s="1"/>
  <c r="P6" i="1"/>
  <c r="T6" i="1" s="1"/>
  <c r="O6" i="1"/>
  <c r="S6" i="1" s="1"/>
  <c r="Q5" i="1"/>
  <c r="U5" i="1" s="1"/>
  <c r="P5" i="1"/>
  <c r="T5" i="1" s="1"/>
  <c r="O5" i="1"/>
  <c r="S5" i="1" s="1"/>
  <c r="Q4" i="1"/>
  <c r="U4" i="1" s="1"/>
  <c r="P4" i="1"/>
  <c r="T4" i="1" s="1"/>
  <c r="O4" i="1"/>
  <c r="S4" i="1" s="1"/>
  <c r="T3" i="1"/>
  <c r="X3" i="1" s="1"/>
  <c r="Q3" i="1"/>
  <c r="U3" i="1" s="1"/>
  <c r="P3" i="1"/>
  <c r="O3" i="1"/>
  <c r="S3" i="1" s="1"/>
  <c r="W3" i="1" s="1"/>
  <c r="Y3" i="1" l="1"/>
</calcChain>
</file>

<file path=xl/sharedStrings.xml><?xml version="1.0" encoding="utf-8"?>
<sst xmlns="http://schemas.openxmlformats.org/spreadsheetml/2006/main" count="58" uniqueCount="49">
  <si>
    <t>Annual + Semi-Annual + Quarter-Annual</t>
  </si>
  <si>
    <t>Annual + Semi-Annual</t>
  </si>
  <si>
    <t>Station</t>
  </si>
  <si>
    <t>BRAD</t>
  </si>
  <si>
    <t>FLN1</t>
  </si>
  <si>
    <t>GARL</t>
  </si>
  <si>
    <t>GERL</t>
  </si>
  <si>
    <t>GOSH</t>
  </si>
  <si>
    <t>MERC</t>
  </si>
  <si>
    <t>NVAL</t>
  </si>
  <si>
    <t>NVSL</t>
  </si>
  <si>
    <t>NVTP</t>
  </si>
  <si>
    <t>P002</t>
  </si>
  <si>
    <t>P068</t>
  </si>
  <si>
    <t>P078</t>
  </si>
  <si>
    <t>P083</t>
  </si>
  <si>
    <t>P095</t>
  </si>
  <si>
    <t>P096</t>
  </si>
  <si>
    <t>P097</t>
  </si>
  <si>
    <t>P098</t>
  </si>
  <si>
    <t>P099</t>
  </si>
  <si>
    <t>P127</t>
  </si>
  <si>
    <t>P128</t>
  </si>
  <si>
    <t>P130</t>
  </si>
  <si>
    <t>P131</t>
  </si>
  <si>
    <t>P133</t>
  </si>
  <si>
    <t>P134</t>
  </si>
  <si>
    <t>P135</t>
  </si>
  <si>
    <t>P137</t>
  </si>
  <si>
    <t>P138</t>
  </si>
  <si>
    <t>SHLD</t>
  </si>
  <si>
    <t>TIVA</t>
  </si>
  <si>
    <t>TUNG</t>
  </si>
  <si>
    <t>UPSA</t>
  </si>
  <si>
    <t>ΔV</t>
  </si>
  <si>
    <t>[VV]</t>
  </si>
  <si>
    <t>RMSE</t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</si>
  <si>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E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</si>
  <si>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N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</si>
  <si>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U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</si>
  <si>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E</t>
    </r>
    <r>
      <rPr>
        <vertAlign val="superscript"/>
        <sz val="11"/>
        <color theme="1"/>
        <rFont val="Calibri"/>
        <family val="2"/>
        <charset val="162"/>
        <scheme val="minor"/>
      </rPr>
      <t>2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</si>
  <si>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N</t>
    </r>
    <r>
      <rPr>
        <vertAlign val="superscript"/>
        <sz val="11"/>
        <color theme="1"/>
        <rFont val="Calibri"/>
        <family val="2"/>
        <charset val="162"/>
        <scheme val="minor"/>
      </rPr>
      <t>2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</si>
  <si>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U</t>
    </r>
    <r>
      <rPr>
        <vertAlign val="superscript"/>
        <sz val="11"/>
        <color theme="1"/>
        <rFont val="Calibri"/>
        <family val="2"/>
        <charset val="162"/>
        <scheme val="minor"/>
      </rPr>
      <t>2</t>
    </r>
  </si>
  <si>
    <r>
      <t>V</t>
    </r>
    <r>
      <rPr>
        <vertAlign val="subscript"/>
        <sz val="11"/>
        <color theme="1"/>
        <rFont val="Calibri"/>
        <family val="2"/>
        <charset val="162"/>
        <scheme val="minor"/>
      </rPr>
      <t>E</t>
    </r>
  </si>
  <si>
    <r>
      <t>V</t>
    </r>
    <r>
      <rPr>
        <vertAlign val="subscript"/>
        <sz val="11"/>
        <color theme="1"/>
        <rFont val="Calibri"/>
        <family val="2"/>
        <charset val="162"/>
        <scheme val="minor"/>
      </rPr>
      <t>N</t>
    </r>
  </si>
  <si>
    <r>
      <t>V</t>
    </r>
    <r>
      <rPr>
        <vertAlign val="subscript"/>
        <sz val="11"/>
        <color theme="1"/>
        <rFont val="Calibri"/>
        <family val="2"/>
        <charset val="162"/>
        <scheme val="minor"/>
      </rPr>
      <t>U</t>
    </r>
  </si>
  <si>
    <r>
      <t>σ</t>
    </r>
    <r>
      <rPr>
        <vertAlign val="subscript"/>
        <sz val="11"/>
        <color theme="1"/>
        <rFont val="Calibri"/>
        <family val="2"/>
        <charset val="162"/>
        <scheme val="minor"/>
      </rPr>
      <t>E</t>
    </r>
  </si>
  <si>
    <r>
      <t>σ</t>
    </r>
    <r>
      <rPr>
        <vertAlign val="subscript"/>
        <sz val="11"/>
        <color theme="1"/>
        <rFont val="Calibri"/>
        <family val="2"/>
        <charset val="162"/>
        <scheme val="minor"/>
      </rPr>
      <t>N</t>
    </r>
  </si>
  <si>
    <r>
      <t>σ</t>
    </r>
    <r>
      <rPr>
        <vertAlign val="subscript"/>
        <sz val="11"/>
        <color theme="1"/>
        <rFont val="Calibri"/>
        <family val="2"/>
        <charset val="162"/>
        <scheme val="minor"/>
      </rPr>
      <t>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</si>
</sst>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vertAlign val="subscript"/>
      <sz val="11"/>
      <color theme="1"/>
      <name val="Calibri"/>
      <family val="2"/>
      <charset val="162"/>
      <scheme val="minor"/>
    </font>
    <font>
      <vertAlign val="superscript"/>
      <sz val="11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workbookViewId="0">
      <selection activeCell="M2" sqref="B2:M2"/>
    </sheetView>
  </sheetViews>
  <sheetFormatPr defaultRowHeight="14.4" x14ac:dyDescent="0.3"/>
  <sheetData>
    <row r="1" spans="1:25" x14ac:dyDescent="0.3">
      <c r="A1" s="4" t="s">
        <v>2</v>
      </c>
      <c r="B1" s="4" t="s">
        <v>0</v>
      </c>
      <c r="C1" s="4"/>
      <c r="D1" s="4"/>
      <c r="E1" s="4"/>
      <c r="F1" s="4"/>
      <c r="G1" s="4"/>
      <c r="H1" s="4" t="s">
        <v>1</v>
      </c>
      <c r="I1" s="4"/>
      <c r="J1" s="4"/>
      <c r="K1" s="4"/>
      <c r="L1" s="4"/>
      <c r="M1" s="4"/>
      <c r="O1" s="5" t="s">
        <v>34</v>
      </c>
      <c r="P1" s="5"/>
      <c r="Q1" s="5"/>
      <c r="S1" s="5" t="s">
        <v>35</v>
      </c>
      <c r="T1" s="5"/>
      <c r="U1" s="5"/>
      <c r="W1" s="4" t="s">
        <v>36</v>
      </c>
      <c r="X1" s="4"/>
      <c r="Y1" s="4"/>
    </row>
    <row r="2" spans="1:25" ht="16.2" x14ac:dyDescent="0.3">
      <c r="A2" s="4"/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O2" s="1" t="s">
        <v>37</v>
      </c>
      <c r="P2" s="1" t="s">
        <v>38</v>
      </c>
      <c r="Q2" s="1" t="s">
        <v>39</v>
      </c>
      <c r="R2" s="1"/>
      <c r="S2" s="1" t="s">
        <v>40</v>
      </c>
      <c r="T2" s="1" t="s">
        <v>41</v>
      </c>
      <c r="U2" s="1" t="s">
        <v>42</v>
      </c>
      <c r="V2" s="1"/>
      <c r="W2" s="1" t="s">
        <v>43</v>
      </c>
      <c r="X2" s="1" t="s">
        <v>44</v>
      </c>
      <c r="Y2" s="1" t="s">
        <v>45</v>
      </c>
    </row>
    <row r="3" spans="1:25" x14ac:dyDescent="0.3">
      <c r="A3" s="1" t="s">
        <v>3</v>
      </c>
      <c r="B3" s="2">
        <v>-18.5946660329239</v>
      </c>
      <c r="C3" s="2">
        <v>-7.68442110845338</v>
      </c>
      <c r="D3" s="2">
        <v>-1.2522569659712</v>
      </c>
      <c r="E3" s="2">
        <v>9.24190773978254E-2</v>
      </c>
      <c r="F3" s="2">
        <v>0.110424550238493</v>
      </c>
      <c r="G3" s="2">
        <v>0.30718243540123202</v>
      </c>
      <c r="H3" s="2">
        <v>-18.593344324314501</v>
      </c>
      <c r="I3" s="2">
        <v>-7.6829455077167603</v>
      </c>
      <c r="J3" s="2">
        <v>-1.2571808057306699</v>
      </c>
      <c r="K3" s="2">
        <v>9.6140269241114296E-2</v>
      </c>
      <c r="L3" s="2">
        <v>0.110804344128211</v>
      </c>
      <c r="M3" s="2">
        <v>0.31004730636667599</v>
      </c>
      <c r="O3" s="3">
        <f>ABS(B3-H3)*1000</f>
        <v>1.3217086093995078</v>
      </c>
      <c r="P3" s="3">
        <f t="shared" ref="P3:Q31" si="0">ABS(C3-I3)*1000</f>
        <v>1.4756007366196755</v>
      </c>
      <c r="Q3" s="3">
        <f t="shared" si="0"/>
        <v>4.9238397594699723</v>
      </c>
      <c r="R3" s="1"/>
      <c r="S3" s="3">
        <f>O3^2</f>
        <v>1.7469136481607808</v>
      </c>
      <c r="T3" s="3">
        <f t="shared" ref="T3:U31" si="1">P3^2</f>
        <v>2.1773975339125289</v>
      </c>
      <c r="U3" s="3">
        <f t="shared" si="1"/>
        <v>24.244197976937315</v>
      </c>
      <c r="V3" s="1"/>
      <c r="W3" s="2">
        <f>SQRT(SUM(S3:S33)/31)</f>
        <v>1.1586093548270906</v>
      </c>
      <c r="X3" s="2">
        <f>SQRT(SUM(T3:T33)/31)</f>
        <v>1.0691004332025684</v>
      </c>
      <c r="Y3" s="2">
        <f>SQRT(SUM(U5:U33)/31)</f>
        <v>2.6886016872229765</v>
      </c>
    </row>
    <row r="4" spans="1:25" x14ac:dyDescent="0.3">
      <c r="A4" s="1" t="s">
        <v>4</v>
      </c>
      <c r="B4" s="2">
        <v>-18.7057025825019</v>
      </c>
      <c r="C4" s="2">
        <v>-7.2848305673459697</v>
      </c>
      <c r="D4" s="2">
        <v>1.5372739807746501</v>
      </c>
      <c r="E4" s="2">
        <v>5.9920177587291901E-2</v>
      </c>
      <c r="F4" s="2">
        <v>6.7138314449302197E-2</v>
      </c>
      <c r="G4" s="2">
        <v>0.44478326823099301</v>
      </c>
      <c r="H4" s="2">
        <v>-18.7054957201996</v>
      </c>
      <c r="I4" s="2">
        <v>-7.2843317546531203</v>
      </c>
      <c r="J4" s="2">
        <v>1.53169357133019</v>
      </c>
      <c r="K4" s="2">
        <v>5.9950606575632698E-2</v>
      </c>
      <c r="L4" s="2">
        <v>6.7241118543038797E-2</v>
      </c>
      <c r="M4" s="2">
        <v>0.446197396890678</v>
      </c>
      <c r="O4" s="3">
        <f t="shared" ref="O4:O31" si="2">ABS(B4-H4)*1000</f>
        <v>0.20686230229927105</v>
      </c>
      <c r="P4" s="3">
        <f t="shared" si="0"/>
        <v>0.49881269284934859</v>
      </c>
      <c r="Q4" s="3">
        <f t="shared" si="0"/>
        <v>5.5804094444600327</v>
      </c>
      <c r="R4" s="1"/>
      <c r="S4" s="3">
        <f t="shared" ref="S4:S31" si="3">O4^2</f>
        <v>4.2792012112555004E-2</v>
      </c>
      <c r="T4" s="3">
        <f t="shared" si="1"/>
        <v>0.24881410254761857</v>
      </c>
      <c r="U4" s="3">
        <f t="shared" si="1"/>
        <v>31.140969567818733</v>
      </c>
      <c r="V4" s="1"/>
      <c r="W4" s="1"/>
      <c r="X4" s="1"/>
      <c r="Y4" s="1"/>
    </row>
    <row r="5" spans="1:25" x14ac:dyDescent="0.3">
      <c r="A5" s="1" t="s">
        <v>5</v>
      </c>
      <c r="B5" s="2">
        <v>-17.755697548033801</v>
      </c>
      <c r="C5" s="2">
        <v>-7.7328987245240901</v>
      </c>
      <c r="D5" s="2">
        <v>-0.26893191861279597</v>
      </c>
      <c r="E5" s="2">
        <v>9.5756925281582195E-2</v>
      </c>
      <c r="F5" s="2">
        <v>6.4803277971002202E-2</v>
      </c>
      <c r="G5" s="2">
        <v>0.27332891027924899</v>
      </c>
      <c r="H5" s="2">
        <v>-17.755868312684299</v>
      </c>
      <c r="I5" s="2">
        <v>-7.7329320241205197</v>
      </c>
      <c r="J5" s="2">
        <v>-0.26885006356916402</v>
      </c>
      <c r="K5" s="2">
        <v>9.5870127269351596E-2</v>
      </c>
      <c r="L5" s="2">
        <v>6.4812107635242894E-2</v>
      </c>
      <c r="M5" s="2">
        <v>0.27557597375453602</v>
      </c>
      <c r="O5" s="3">
        <f t="shared" si="2"/>
        <v>0.17076465049825629</v>
      </c>
      <c r="P5" s="3">
        <f t="shared" si="0"/>
        <v>3.3299596429614553E-2</v>
      </c>
      <c r="Q5" s="3">
        <f t="shared" si="0"/>
        <v>8.1855043631950952E-2</v>
      </c>
      <c r="R5" s="1"/>
      <c r="S5" s="3">
        <f t="shared" si="3"/>
        <v>2.9160565859791623E-2</v>
      </c>
      <c r="T5" s="3">
        <f t="shared" si="1"/>
        <v>1.1088631223751984E-3</v>
      </c>
      <c r="U5" s="3">
        <f t="shared" si="1"/>
        <v>6.7002481679885942E-3</v>
      </c>
      <c r="V5" s="1"/>
      <c r="W5" s="1"/>
      <c r="X5" s="1"/>
      <c r="Y5" s="1"/>
    </row>
    <row r="6" spans="1:25" x14ac:dyDescent="0.3">
      <c r="A6" s="1" t="s">
        <v>6</v>
      </c>
      <c r="B6" s="2">
        <v>-17.632917957350202</v>
      </c>
      <c r="C6" s="2">
        <v>-8.0213280318280393</v>
      </c>
      <c r="D6" s="2">
        <v>-2.13119453904718</v>
      </c>
      <c r="E6" s="2">
        <v>0.100004119085024</v>
      </c>
      <c r="F6" s="2">
        <v>6.8439724823725706E-2</v>
      </c>
      <c r="G6" s="2">
        <v>0.231088444298997</v>
      </c>
      <c r="H6" s="2">
        <v>-17.635302098714</v>
      </c>
      <c r="I6" s="2">
        <v>-8.0207691345241408</v>
      </c>
      <c r="J6" s="2">
        <v>-2.1317871661057399</v>
      </c>
      <c r="K6" s="2">
        <v>0.10028923788397601</v>
      </c>
      <c r="L6" s="2">
        <v>6.8472197049287906E-2</v>
      </c>
      <c r="M6" s="2">
        <v>0.232580266053065</v>
      </c>
      <c r="O6" s="3">
        <f t="shared" si="2"/>
        <v>2.3841413637981645</v>
      </c>
      <c r="P6" s="3">
        <f t="shared" si="0"/>
        <v>0.55889730389857561</v>
      </c>
      <c r="Q6" s="3">
        <f t="shared" si="0"/>
        <v>0.5926270585598914</v>
      </c>
      <c r="R6" s="1"/>
      <c r="S6" s="3">
        <f t="shared" si="3"/>
        <v>5.6841300425733721</v>
      </c>
      <c r="T6" s="3">
        <f t="shared" si="1"/>
        <v>0.31236619630509677</v>
      </c>
      <c r="U6" s="3">
        <f t="shared" si="1"/>
        <v>0.35120683053734897</v>
      </c>
      <c r="V6" s="1"/>
      <c r="W6" s="1"/>
      <c r="X6" s="1"/>
      <c r="Y6" s="1"/>
    </row>
    <row r="7" spans="1:25" x14ac:dyDescent="0.3">
      <c r="A7" s="1" t="s">
        <v>7</v>
      </c>
      <c r="B7" s="2">
        <v>-17.150252491774499</v>
      </c>
      <c r="C7" s="2">
        <v>-9.46519797934819</v>
      </c>
      <c r="D7" s="2">
        <v>-0.37673228723520402</v>
      </c>
      <c r="E7" s="2">
        <v>6.6875215974578697E-2</v>
      </c>
      <c r="F7" s="2">
        <v>5.0873216416760202E-2</v>
      </c>
      <c r="G7" s="2">
        <v>0.18941032250787301</v>
      </c>
      <c r="H7" s="2">
        <v>-17.1499724911864</v>
      </c>
      <c r="I7" s="2">
        <v>-9.4644715453760995</v>
      </c>
      <c r="J7" s="2">
        <v>-0.38038428561942</v>
      </c>
      <c r="K7" s="2">
        <v>6.7036473629221105E-2</v>
      </c>
      <c r="L7" s="2">
        <v>5.1401812067146599E-2</v>
      </c>
      <c r="M7" s="2">
        <v>0.192638124072633</v>
      </c>
      <c r="O7" s="3">
        <f t="shared" si="2"/>
        <v>0.2800005880985168</v>
      </c>
      <c r="P7" s="3">
        <f t="shared" si="0"/>
        <v>0.72643397209048999</v>
      </c>
      <c r="Q7" s="3">
        <f t="shared" si="0"/>
        <v>3.651998384215982</v>
      </c>
      <c r="R7" s="1"/>
      <c r="S7" s="3">
        <f t="shared" si="3"/>
        <v>7.8400329335515273E-2</v>
      </c>
      <c r="T7" s="3">
        <f t="shared" si="1"/>
        <v>0.52770631580716676</v>
      </c>
      <c r="U7" s="3">
        <f t="shared" si="1"/>
        <v>13.337092198316144</v>
      </c>
      <c r="V7" s="1"/>
      <c r="W7" s="1"/>
      <c r="X7" s="1"/>
      <c r="Y7" s="1"/>
    </row>
    <row r="8" spans="1:25" x14ac:dyDescent="0.3">
      <c r="A8" s="1" t="s">
        <v>8</v>
      </c>
      <c r="B8" s="2">
        <v>-15.496611228302701</v>
      </c>
      <c r="C8" s="2">
        <v>-8.7785690050418292</v>
      </c>
      <c r="D8" s="2">
        <v>-1.2258961071866199</v>
      </c>
      <c r="E8" s="2">
        <v>6.21231599021181E-2</v>
      </c>
      <c r="F8" s="2">
        <v>4.2123485064853902E-2</v>
      </c>
      <c r="G8" s="2">
        <v>0.15020086258277601</v>
      </c>
      <c r="H8" s="2">
        <v>-15.496874600550701</v>
      </c>
      <c r="I8" s="2">
        <v>-8.7793784137774402</v>
      </c>
      <c r="J8" s="2">
        <v>-1.2246147830587499</v>
      </c>
      <c r="K8" s="2">
        <v>6.2164338716928398E-2</v>
      </c>
      <c r="L8" s="2">
        <v>4.2346699472419001E-2</v>
      </c>
      <c r="M8" s="2">
        <v>0.15120950298136601</v>
      </c>
      <c r="O8" s="3">
        <f t="shared" si="2"/>
        <v>0.26337224799988235</v>
      </c>
      <c r="P8" s="3">
        <f t="shared" si="0"/>
        <v>0.80940873561097249</v>
      </c>
      <c r="Q8" s="3">
        <f t="shared" si="0"/>
        <v>1.281324127869965</v>
      </c>
      <c r="R8" s="1"/>
      <c r="S8" s="3">
        <f t="shared" si="3"/>
        <v>6.9364941016511528E-2</v>
      </c>
      <c r="T8" s="3">
        <f t="shared" si="1"/>
        <v>0.65514250128335316</v>
      </c>
      <c r="U8" s="3">
        <f t="shared" si="1"/>
        <v>1.6417915206617264</v>
      </c>
      <c r="V8" s="1"/>
      <c r="W8" s="1"/>
      <c r="X8" s="1"/>
      <c r="Y8" s="1"/>
    </row>
    <row r="9" spans="1:25" x14ac:dyDescent="0.3">
      <c r="A9" s="1" t="s">
        <v>9</v>
      </c>
      <c r="B9" s="2">
        <v>-15.841110790814099</v>
      </c>
      <c r="C9" s="2">
        <v>-8.9154069635446795</v>
      </c>
      <c r="D9" s="2">
        <v>-1.4481204865055299</v>
      </c>
      <c r="E9" s="2">
        <v>7.5267293604399002E-2</v>
      </c>
      <c r="F9" s="2">
        <v>7.2074976262949494E-2</v>
      </c>
      <c r="G9" s="2">
        <v>0.246133305056527</v>
      </c>
      <c r="H9" s="2">
        <v>-15.8424963488774</v>
      </c>
      <c r="I9" s="2">
        <v>-8.9153060444730805</v>
      </c>
      <c r="J9" s="2">
        <v>-1.4422815170315799</v>
      </c>
      <c r="K9" s="2">
        <v>7.6780227736782503E-2</v>
      </c>
      <c r="L9" s="2">
        <v>7.2815021675817895E-2</v>
      </c>
      <c r="M9" s="2">
        <v>0.251303801617213</v>
      </c>
      <c r="O9" s="3">
        <f t="shared" si="2"/>
        <v>1.3855580633013176</v>
      </c>
      <c r="P9" s="3">
        <f t="shared" si="0"/>
        <v>0.10091907159903712</v>
      </c>
      <c r="Q9" s="3">
        <f t="shared" si="0"/>
        <v>5.8389694739500175</v>
      </c>
      <c r="R9" s="1"/>
      <c r="S9" s="3">
        <f t="shared" si="3"/>
        <v>1.9197711467792979</v>
      </c>
      <c r="T9" s="3">
        <f t="shared" si="1"/>
        <v>1.0184659012411581E-2</v>
      </c>
      <c r="U9" s="3">
        <f t="shared" si="1"/>
        <v>34.093564517720147</v>
      </c>
      <c r="V9" s="1"/>
      <c r="W9" s="1"/>
      <c r="X9" s="1"/>
      <c r="Y9" s="1"/>
    </row>
    <row r="10" spans="1:25" x14ac:dyDescent="0.3">
      <c r="A10" s="1" t="s">
        <v>10</v>
      </c>
      <c r="B10" s="2">
        <v>-15.070862323433801</v>
      </c>
      <c r="C10" s="2">
        <v>-8.6432232754887508</v>
      </c>
      <c r="D10" s="2">
        <v>-0.24566528535905299</v>
      </c>
      <c r="E10" s="2">
        <v>6.2308115846864701E-2</v>
      </c>
      <c r="F10" s="2">
        <v>0.119093004044222</v>
      </c>
      <c r="G10" s="2">
        <v>0.263086782930888</v>
      </c>
      <c r="H10" s="2">
        <v>-15.072450729455801</v>
      </c>
      <c r="I10" s="2">
        <v>-8.6437203950125898</v>
      </c>
      <c r="J10" s="2">
        <v>-0.24346293069156399</v>
      </c>
      <c r="K10" s="2">
        <v>6.3610986345892295E-2</v>
      </c>
      <c r="L10" s="2">
        <v>0.119477593346363</v>
      </c>
      <c r="M10" s="2">
        <v>0.26508143885291002</v>
      </c>
      <c r="O10" s="3">
        <f t="shared" si="2"/>
        <v>1.5884060219999441</v>
      </c>
      <c r="P10" s="3">
        <f t="shared" si="0"/>
        <v>0.49711952383901803</v>
      </c>
      <c r="Q10" s="3">
        <f t="shared" si="0"/>
        <v>2.202354667488998</v>
      </c>
      <c r="R10" s="1"/>
      <c r="S10" s="3">
        <f t="shared" si="3"/>
        <v>2.5230336907256867</v>
      </c>
      <c r="T10" s="3">
        <f t="shared" si="1"/>
        <v>0.24712782098193201</v>
      </c>
      <c r="U10" s="3">
        <f t="shared" si="1"/>
        <v>4.8503660814105753</v>
      </c>
      <c r="V10" s="1"/>
      <c r="W10" s="1"/>
      <c r="X10" s="1"/>
      <c r="Y10" s="1"/>
    </row>
    <row r="11" spans="1:25" x14ac:dyDescent="0.3">
      <c r="A11" s="1" t="s">
        <v>11</v>
      </c>
      <c r="B11" s="2">
        <v>-15.4794547313897</v>
      </c>
      <c r="C11" s="2">
        <v>-8.9150469372617405</v>
      </c>
      <c r="D11" s="2">
        <v>-1.93277667734463</v>
      </c>
      <c r="E11" s="2">
        <v>6.6103987321086993E-2</v>
      </c>
      <c r="F11" s="2">
        <v>7.6863790838339996E-2</v>
      </c>
      <c r="G11" s="2">
        <v>0.593330584066873</v>
      </c>
      <c r="H11" s="2">
        <v>-15.4779265677055</v>
      </c>
      <c r="I11" s="2">
        <v>-8.9141909349358901</v>
      </c>
      <c r="J11" s="2">
        <v>-1.9301474270335299</v>
      </c>
      <c r="K11" s="2">
        <v>6.6222773007871202E-2</v>
      </c>
      <c r="L11" s="2">
        <v>7.7013259162088302E-2</v>
      </c>
      <c r="M11" s="2">
        <v>0.59537133640908402</v>
      </c>
      <c r="O11" s="3">
        <f t="shared" si="2"/>
        <v>1.5281636841990576</v>
      </c>
      <c r="P11" s="3">
        <f t="shared" si="0"/>
        <v>0.85600232585036906</v>
      </c>
      <c r="Q11" s="3">
        <f t="shared" si="0"/>
        <v>2.629250311100062</v>
      </c>
      <c r="R11" s="1"/>
      <c r="S11" s="3">
        <f t="shared" si="3"/>
        <v>2.3352842457048371</v>
      </c>
      <c r="T11" s="3">
        <f t="shared" si="1"/>
        <v>0.73273998186124145</v>
      </c>
      <c r="U11" s="3">
        <f t="shared" si="1"/>
        <v>6.9129571984197726</v>
      </c>
      <c r="V11" s="1"/>
      <c r="W11" s="1"/>
      <c r="X11" s="1"/>
      <c r="Y11" s="1"/>
    </row>
    <row r="12" spans="1:25" x14ac:dyDescent="0.3">
      <c r="A12" s="1" t="s">
        <v>12</v>
      </c>
      <c r="B12" s="2">
        <v>-16.470677254558499</v>
      </c>
      <c r="C12" s="2">
        <v>-9.5992601324575002</v>
      </c>
      <c r="D12" s="2">
        <v>0.27755061725095198</v>
      </c>
      <c r="E12" s="2">
        <v>6.7893568940077698E-2</v>
      </c>
      <c r="F12" s="2">
        <v>5.6214805490706399E-2</v>
      </c>
      <c r="G12" s="2">
        <v>0.22825020026151799</v>
      </c>
      <c r="H12" s="2">
        <v>-16.470858517180901</v>
      </c>
      <c r="I12" s="2">
        <v>-9.5989454765518403</v>
      </c>
      <c r="J12" s="2">
        <v>0.27342463818750301</v>
      </c>
      <c r="K12" s="2">
        <v>6.7834428876888397E-2</v>
      </c>
      <c r="L12" s="2">
        <v>5.6390955659853102E-2</v>
      </c>
      <c r="M12" s="2">
        <v>0.23207180764721699</v>
      </c>
      <c r="O12" s="3">
        <f t="shared" si="2"/>
        <v>0.18126262240159008</v>
      </c>
      <c r="P12" s="3">
        <f t="shared" si="0"/>
        <v>0.31465590565993296</v>
      </c>
      <c r="Q12" s="3">
        <f t="shared" si="0"/>
        <v>4.1259790634489697</v>
      </c>
      <c r="R12" s="1"/>
      <c r="S12" s="3">
        <f t="shared" si="3"/>
        <v>3.2856138279901428E-2</v>
      </c>
      <c r="T12" s="3">
        <f t="shared" si="1"/>
        <v>9.9008338966672632E-2</v>
      </c>
      <c r="U12" s="3">
        <f t="shared" si="1"/>
        <v>17.023703232019237</v>
      </c>
      <c r="V12" s="1"/>
      <c r="W12" s="1"/>
      <c r="X12" s="1"/>
      <c r="Y12" s="1"/>
    </row>
    <row r="13" spans="1:25" x14ac:dyDescent="0.3">
      <c r="A13" s="1" t="s">
        <v>13</v>
      </c>
      <c r="B13" s="2">
        <v>-16.8755594937914</v>
      </c>
      <c r="C13" s="2">
        <v>-9.0004655929639394</v>
      </c>
      <c r="D13" s="2">
        <v>0.53421933530211296</v>
      </c>
      <c r="E13" s="2">
        <v>4.7091497833283598E-2</v>
      </c>
      <c r="F13" s="2">
        <v>3.4130626944823002E-2</v>
      </c>
      <c r="G13" s="2">
        <v>0.143126912464698</v>
      </c>
      <c r="H13" s="2">
        <v>-16.8761252643815</v>
      </c>
      <c r="I13" s="2">
        <v>-9.0004772769408703</v>
      </c>
      <c r="J13" s="2">
        <v>0.53442516506381998</v>
      </c>
      <c r="K13" s="2">
        <v>4.7190374631571899E-2</v>
      </c>
      <c r="L13" s="2">
        <v>3.4429687965634302E-2</v>
      </c>
      <c r="M13" s="2">
        <v>0.14545760689315601</v>
      </c>
      <c r="O13" s="3">
        <f t="shared" si="2"/>
        <v>0.56577059010010089</v>
      </c>
      <c r="P13" s="3">
        <f t="shared" si="0"/>
        <v>1.1683976930854101E-2</v>
      </c>
      <c r="Q13" s="3">
        <f t="shared" si="0"/>
        <v>0.2058297617070215</v>
      </c>
      <c r="R13" s="1"/>
      <c r="S13" s="3">
        <f t="shared" si="3"/>
        <v>0.32009636062221636</v>
      </c>
      <c r="T13" s="3">
        <f t="shared" si="1"/>
        <v>1.3651531692073082E-4</v>
      </c>
      <c r="U13" s="3">
        <f t="shared" si="1"/>
        <v>4.2365890804369255E-2</v>
      </c>
      <c r="V13" s="1"/>
      <c r="W13" s="1"/>
      <c r="X13" s="1"/>
      <c r="Y13" s="1"/>
    </row>
    <row r="14" spans="1:25" x14ac:dyDescent="0.3">
      <c r="A14" s="1" t="s">
        <v>14</v>
      </c>
      <c r="B14" s="2">
        <v>-17.5944532655651</v>
      </c>
      <c r="C14" s="2">
        <v>-8.9371132796568205</v>
      </c>
      <c r="D14" s="2">
        <v>0.67958238360286505</v>
      </c>
      <c r="E14" s="2">
        <v>6.1536365440666201E-2</v>
      </c>
      <c r="F14" s="2">
        <v>4.8667098513021E-2</v>
      </c>
      <c r="G14" s="2">
        <v>0.221720169099864</v>
      </c>
      <c r="H14" s="2">
        <v>-17.593740545307401</v>
      </c>
      <c r="I14" s="2">
        <v>-8.9377353739223899</v>
      </c>
      <c r="J14" s="2">
        <v>0.67827171164411204</v>
      </c>
      <c r="K14" s="2">
        <v>6.1623225920156198E-2</v>
      </c>
      <c r="L14" s="2">
        <v>4.8989813119880099E-2</v>
      </c>
      <c r="M14" s="2">
        <v>0.22525184824410299</v>
      </c>
      <c r="O14" s="3">
        <f t="shared" si="2"/>
        <v>0.71272025769886227</v>
      </c>
      <c r="P14" s="3">
        <f t="shared" si="0"/>
        <v>0.62209426556947278</v>
      </c>
      <c r="Q14" s="3">
        <f t="shared" si="0"/>
        <v>1.3106719587530069</v>
      </c>
      <c r="R14" s="1"/>
      <c r="S14" s="3">
        <f t="shared" si="3"/>
        <v>0.50797016573433262</v>
      </c>
      <c r="T14" s="3">
        <f t="shared" si="1"/>
        <v>0.38700127525442174</v>
      </c>
      <c r="U14" s="3">
        <f t="shared" si="1"/>
        <v>1.7178609834614438</v>
      </c>
      <c r="V14" s="1"/>
      <c r="W14" s="1"/>
      <c r="X14" s="1"/>
      <c r="Y14" s="1"/>
    </row>
    <row r="15" spans="1:25" x14ac:dyDescent="0.3">
      <c r="A15" s="1" t="s">
        <v>15</v>
      </c>
      <c r="B15" s="2">
        <v>-16.772680626917101</v>
      </c>
      <c r="C15" s="2">
        <v>-9.49952012720426</v>
      </c>
      <c r="D15" s="2">
        <v>0.95222078891315998</v>
      </c>
      <c r="E15" s="2">
        <v>4.0393314442986099E-2</v>
      </c>
      <c r="F15" s="2">
        <v>3.96535950968427E-2</v>
      </c>
      <c r="G15" s="2">
        <v>0.121196185538927</v>
      </c>
      <c r="H15" s="2">
        <v>-16.773875148479199</v>
      </c>
      <c r="I15" s="2">
        <v>-9.4999304629042491</v>
      </c>
      <c r="J15" s="2">
        <v>0.95572569480797898</v>
      </c>
      <c r="K15" s="2">
        <v>4.0642061917219002E-2</v>
      </c>
      <c r="L15" s="2">
        <v>3.9615279741030303E-2</v>
      </c>
      <c r="M15" s="2">
        <v>0.122385968320433</v>
      </c>
      <c r="O15" s="3">
        <f t="shared" si="2"/>
        <v>1.1945215620983163</v>
      </c>
      <c r="P15" s="3">
        <f t="shared" si="0"/>
        <v>0.41033569998916164</v>
      </c>
      <c r="Q15" s="3">
        <f t="shared" si="0"/>
        <v>3.5049058948189993</v>
      </c>
      <c r="R15" s="1"/>
      <c r="S15" s="3">
        <f t="shared" si="3"/>
        <v>1.4268817623178016</v>
      </c>
      <c r="T15" s="3">
        <f t="shared" si="1"/>
        <v>0.16837538668559526</v>
      </c>
      <c r="U15" s="3">
        <f t="shared" si="1"/>
        <v>12.28436533153697</v>
      </c>
      <c r="V15" s="1"/>
      <c r="W15" s="1"/>
      <c r="X15" s="1"/>
      <c r="Y15" s="1"/>
    </row>
    <row r="16" spans="1:25" x14ac:dyDescent="0.3">
      <c r="A16" s="1" t="s">
        <v>16</v>
      </c>
      <c r="B16" s="2">
        <v>-19.517992589014</v>
      </c>
      <c r="C16" s="2">
        <v>-6.3601138296017998</v>
      </c>
      <c r="D16" s="2">
        <v>-0.38223332494216999</v>
      </c>
      <c r="E16" s="2">
        <v>8.0143683792391202E-2</v>
      </c>
      <c r="F16" s="2">
        <v>6.6506965326392803E-2</v>
      </c>
      <c r="G16" s="2">
        <v>0.23241742616061301</v>
      </c>
      <c r="H16" s="2">
        <v>-19.517075588443198</v>
      </c>
      <c r="I16" s="2">
        <v>-6.3583304481134704</v>
      </c>
      <c r="J16" s="2">
        <v>-0.387860928423649</v>
      </c>
      <c r="K16" s="2">
        <v>8.0216578497053395E-2</v>
      </c>
      <c r="L16" s="2">
        <v>6.6691902659378799E-2</v>
      </c>
      <c r="M16" s="2">
        <v>0.233667248814492</v>
      </c>
      <c r="O16" s="3">
        <f t="shared" si="2"/>
        <v>0.9170005708014628</v>
      </c>
      <c r="P16" s="3">
        <f t="shared" si="0"/>
        <v>1.7833814883294608</v>
      </c>
      <c r="Q16" s="3">
        <f t="shared" si="0"/>
        <v>5.6276034814790048</v>
      </c>
      <c r="R16" s="1"/>
      <c r="S16" s="3">
        <f t="shared" si="3"/>
        <v>0.84089004685020863</v>
      </c>
      <c r="T16" s="3">
        <f t="shared" si="1"/>
        <v>3.1804495329162026</v>
      </c>
      <c r="U16" s="3">
        <f t="shared" si="1"/>
        <v>31.669920944754615</v>
      </c>
      <c r="V16" s="1"/>
      <c r="W16" s="1"/>
      <c r="X16" s="1"/>
      <c r="Y16" s="1"/>
    </row>
    <row r="17" spans="1:25" x14ac:dyDescent="0.3">
      <c r="A17" s="1" t="s">
        <v>17</v>
      </c>
      <c r="B17" s="2">
        <v>-18.832076363397999</v>
      </c>
      <c r="C17" s="2">
        <v>-7.2455373206466804</v>
      </c>
      <c r="D17" s="2">
        <v>0.11835463290444299</v>
      </c>
      <c r="E17" s="2">
        <v>5.2992393194071202E-2</v>
      </c>
      <c r="F17" s="2">
        <v>4.6200665777415099E-2</v>
      </c>
      <c r="G17" s="2">
        <v>0.171778359668984</v>
      </c>
      <c r="H17" s="2">
        <v>-18.833082746636698</v>
      </c>
      <c r="I17" s="2">
        <v>-7.2485685830646096</v>
      </c>
      <c r="J17" s="2">
        <v>0.11731492810452</v>
      </c>
      <c r="K17" s="2">
        <v>5.3061069213150701E-2</v>
      </c>
      <c r="L17" s="2">
        <v>4.6501300784145397E-2</v>
      </c>
      <c r="M17" s="2">
        <v>0.17525348949581401</v>
      </c>
      <c r="O17" s="3">
        <f t="shared" si="2"/>
        <v>1.0063832386997262</v>
      </c>
      <c r="P17" s="3">
        <f t="shared" si="0"/>
        <v>3.0312624179291703</v>
      </c>
      <c r="Q17" s="3">
        <f t="shared" si="0"/>
        <v>1.0397047999229914</v>
      </c>
      <c r="R17" s="1"/>
      <c r="S17" s="3">
        <f t="shared" si="3"/>
        <v>1.0128072231357501</v>
      </c>
      <c r="T17" s="3">
        <f t="shared" si="1"/>
        <v>9.1885518463497995</v>
      </c>
      <c r="U17" s="3">
        <f t="shared" si="1"/>
        <v>1.0809860709829076</v>
      </c>
      <c r="V17" s="1"/>
      <c r="W17" s="1"/>
      <c r="X17" s="1"/>
      <c r="Y17" s="1"/>
    </row>
    <row r="18" spans="1:25" x14ac:dyDescent="0.3">
      <c r="A18" s="1" t="s">
        <v>18</v>
      </c>
      <c r="B18" s="2">
        <v>-18.2451470270945</v>
      </c>
      <c r="C18" s="2">
        <v>-7.8125284609956598</v>
      </c>
      <c r="D18" s="2">
        <v>6.6254448714106698E-2</v>
      </c>
      <c r="E18" s="2">
        <v>0.11992822933767</v>
      </c>
      <c r="F18" s="2">
        <v>7.1947610201474402E-2</v>
      </c>
      <c r="G18" s="2">
        <v>0.35601232818592399</v>
      </c>
      <c r="H18" s="2">
        <v>-18.248470947356498</v>
      </c>
      <c r="I18" s="2">
        <v>-7.8102519287651697</v>
      </c>
      <c r="J18" s="2">
        <v>6.9487072480173898E-2</v>
      </c>
      <c r="K18" s="2">
        <v>0.120143886537541</v>
      </c>
      <c r="L18" s="2">
        <v>7.2099572982359805E-2</v>
      </c>
      <c r="M18" s="2">
        <v>0.35671366058660098</v>
      </c>
      <c r="O18" s="3">
        <f t="shared" si="2"/>
        <v>3.3239202619981256</v>
      </c>
      <c r="P18" s="3">
        <f t="shared" si="0"/>
        <v>2.2765322304900693</v>
      </c>
      <c r="Q18" s="3">
        <f t="shared" si="0"/>
        <v>3.2326237660671997</v>
      </c>
      <c r="R18" s="1"/>
      <c r="S18" s="3">
        <f t="shared" si="3"/>
        <v>11.048445908121687</v>
      </c>
      <c r="T18" s="3">
        <f t="shared" si="1"/>
        <v>5.18259899646009</v>
      </c>
      <c r="U18" s="3">
        <f t="shared" si="1"/>
        <v>10.449856412942486</v>
      </c>
      <c r="V18" s="1"/>
      <c r="W18" s="1"/>
      <c r="X18" s="1"/>
      <c r="Y18" s="1"/>
    </row>
    <row r="19" spans="1:25" x14ac:dyDescent="0.3">
      <c r="A19" s="1" t="s">
        <v>19</v>
      </c>
      <c r="B19" s="2">
        <v>-18.322880370492499</v>
      </c>
      <c r="C19" s="2">
        <v>-8.1164109837659399</v>
      </c>
      <c r="D19" s="2">
        <v>-8.4112361190413501E-2</v>
      </c>
      <c r="E19" s="2">
        <v>4.7110933498224802E-2</v>
      </c>
      <c r="F19" s="2">
        <v>4.1038658192031202E-2</v>
      </c>
      <c r="G19" s="2">
        <v>0.18913621447387899</v>
      </c>
      <c r="H19" s="2">
        <v>-18.322789789716101</v>
      </c>
      <c r="I19" s="2">
        <v>-8.1165066960278107</v>
      </c>
      <c r="J19" s="2">
        <v>-8.2391832312915594E-2</v>
      </c>
      <c r="K19" s="2">
        <v>4.7169540065150103E-2</v>
      </c>
      <c r="L19" s="2">
        <v>4.1183002066286098E-2</v>
      </c>
      <c r="M19" s="2">
        <v>0.192097968054848</v>
      </c>
      <c r="O19" s="3">
        <f t="shared" si="2"/>
        <v>9.0580776397786167E-2</v>
      </c>
      <c r="P19" s="3">
        <f t="shared" si="0"/>
        <v>9.5712261870772863E-2</v>
      </c>
      <c r="Q19" s="3">
        <f t="shared" si="0"/>
        <v>1.7205288774979066</v>
      </c>
      <c r="R19" s="1"/>
      <c r="S19" s="3">
        <f t="shared" si="3"/>
        <v>8.2048770528257362E-3</v>
      </c>
      <c r="T19" s="3">
        <f t="shared" si="1"/>
        <v>9.1608370724194001E-3</v>
      </c>
      <c r="U19" s="3">
        <f t="shared" si="1"/>
        <v>2.9602196183042064</v>
      </c>
      <c r="V19" s="1"/>
      <c r="W19" s="1"/>
      <c r="X19" s="1"/>
      <c r="Y19" s="1"/>
    </row>
    <row r="20" spans="1:25" x14ac:dyDescent="0.3">
      <c r="A20" s="1" t="s">
        <v>20</v>
      </c>
      <c r="B20" s="2">
        <v>-17.020394651342102</v>
      </c>
      <c r="C20" s="2">
        <v>-8.2203525899699397</v>
      </c>
      <c r="D20" s="2">
        <v>0.49724313936366799</v>
      </c>
      <c r="E20" s="2">
        <v>6.1105530356946498E-2</v>
      </c>
      <c r="F20" s="2">
        <v>5.5881051101521702E-2</v>
      </c>
      <c r="G20" s="2">
        <v>0.250185349188077</v>
      </c>
      <c r="H20" s="2">
        <v>-17.022129047642299</v>
      </c>
      <c r="I20" s="2">
        <v>-8.2188352742368007</v>
      </c>
      <c r="J20" s="2">
        <v>0.49569703224039702</v>
      </c>
      <c r="K20" s="2">
        <v>6.1146747885987097E-2</v>
      </c>
      <c r="L20" s="2">
        <v>5.6294605261975203E-2</v>
      </c>
      <c r="M20" s="2">
        <v>0.25125823065791603</v>
      </c>
      <c r="O20" s="3">
        <f t="shared" si="2"/>
        <v>1.7343963001970053</v>
      </c>
      <c r="P20" s="3">
        <f t="shared" si="0"/>
        <v>1.5173157331389575</v>
      </c>
      <c r="Q20" s="3">
        <f t="shared" si="0"/>
        <v>1.5461071232709678</v>
      </c>
      <c r="R20" s="1"/>
      <c r="S20" s="3">
        <f t="shared" si="3"/>
        <v>3.0081305261370606</v>
      </c>
      <c r="T20" s="3">
        <f t="shared" si="1"/>
        <v>2.3022470340310122</v>
      </c>
      <c r="U20" s="3">
        <f t="shared" si="1"/>
        <v>2.3904472366292278</v>
      </c>
      <c r="V20" s="1"/>
      <c r="W20" s="1"/>
      <c r="X20" s="1"/>
      <c r="Y20" s="1"/>
    </row>
    <row r="21" spans="1:25" x14ac:dyDescent="0.3">
      <c r="A21" s="1" t="s">
        <v>21</v>
      </c>
      <c r="B21" s="2">
        <v>-19.235140676371699</v>
      </c>
      <c r="C21" s="2">
        <v>-5.5771302590172898</v>
      </c>
      <c r="D21" s="2">
        <v>-0.57562590506943101</v>
      </c>
      <c r="E21" s="2">
        <v>0.16036711779375901</v>
      </c>
      <c r="F21" s="2">
        <v>0.13408444327649299</v>
      </c>
      <c r="G21" s="2">
        <v>0.53279109394453406</v>
      </c>
      <c r="H21" s="2">
        <v>-19.236017259572598</v>
      </c>
      <c r="I21" s="2">
        <v>-5.5781622348957001</v>
      </c>
      <c r="J21" s="2">
        <v>-0.57479663641468304</v>
      </c>
      <c r="K21" s="2">
        <v>0.161225448708259</v>
      </c>
      <c r="L21" s="2">
        <v>0.13488945079202899</v>
      </c>
      <c r="M21" s="2">
        <v>0.53717116308550805</v>
      </c>
      <c r="O21" s="3">
        <f t="shared" si="2"/>
        <v>0.87658320089900599</v>
      </c>
      <c r="P21" s="3">
        <f t="shared" si="0"/>
        <v>1.0319758784103072</v>
      </c>
      <c r="Q21" s="3">
        <f t="shared" si="0"/>
        <v>0.82926865474797218</v>
      </c>
      <c r="R21" s="1"/>
      <c r="S21" s="3">
        <f t="shared" si="3"/>
        <v>0.76839810809834708</v>
      </c>
      <c r="T21" s="3">
        <f t="shared" si="1"/>
        <v>1.0649742136207252</v>
      </c>
      <c r="U21" s="3">
        <f t="shared" si="1"/>
        <v>0.68768650174751145</v>
      </c>
      <c r="V21" s="1"/>
      <c r="W21" s="1"/>
      <c r="X21" s="1"/>
      <c r="Y21" s="1"/>
    </row>
    <row r="22" spans="1:25" x14ac:dyDescent="0.3">
      <c r="A22" s="1" t="s">
        <v>22</v>
      </c>
      <c r="B22" s="2">
        <v>-18.504016074421902</v>
      </c>
      <c r="C22" s="2">
        <v>-7.0628613134946798</v>
      </c>
      <c r="D22" s="2">
        <v>5.7980239835086801E-2</v>
      </c>
      <c r="E22" s="2">
        <v>6.3695000447450495E-2</v>
      </c>
      <c r="F22" s="2">
        <v>5.2241068205536603E-2</v>
      </c>
      <c r="G22" s="2">
        <v>0.193529333837544</v>
      </c>
      <c r="H22" s="2">
        <v>-18.505040177606698</v>
      </c>
      <c r="I22" s="2">
        <v>-7.0632058723266002</v>
      </c>
      <c r="J22" s="2">
        <v>6.1265588651032502E-2</v>
      </c>
      <c r="K22" s="2">
        <v>6.4330208774472403E-2</v>
      </c>
      <c r="L22" s="2">
        <v>5.2288252607392401E-2</v>
      </c>
      <c r="M22" s="2">
        <v>0.19552848902477199</v>
      </c>
      <c r="O22" s="3">
        <f t="shared" si="2"/>
        <v>1.0241031847968429</v>
      </c>
      <c r="P22" s="3">
        <f t="shared" si="0"/>
        <v>0.34455883192041625</v>
      </c>
      <c r="Q22" s="3">
        <f t="shared" si="0"/>
        <v>3.2853488159457003</v>
      </c>
      <c r="R22" s="1"/>
      <c r="S22" s="3">
        <f t="shared" si="3"/>
        <v>1.0487873331110367</v>
      </c>
      <c r="T22" s="3">
        <f t="shared" si="1"/>
        <v>0.11872078865436166</v>
      </c>
      <c r="U22" s="3">
        <f t="shared" si="1"/>
        <v>10.793516842435814</v>
      </c>
      <c r="V22" s="1"/>
      <c r="W22" s="1"/>
      <c r="X22" s="1"/>
      <c r="Y22" s="1"/>
    </row>
    <row r="23" spans="1:25" x14ac:dyDescent="0.3">
      <c r="A23" s="1" t="s">
        <v>23</v>
      </c>
      <c r="B23" s="2">
        <v>-18.662703315724499</v>
      </c>
      <c r="C23" s="2">
        <v>-6.7318937955909304</v>
      </c>
      <c r="D23" s="2">
        <v>-0.78394497363597704</v>
      </c>
      <c r="E23" s="2">
        <v>0.146559728132028</v>
      </c>
      <c r="F23" s="2">
        <v>0.18566707689428699</v>
      </c>
      <c r="G23" s="2">
        <v>0.35265428956049999</v>
      </c>
      <c r="H23" s="2">
        <v>-18.662387339561299</v>
      </c>
      <c r="I23" s="2">
        <v>-6.7330785649455898</v>
      </c>
      <c r="J23" s="2">
        <v>-0.78594364155160301</v>
      </c>
      <c r="K23" s="2">
        <v>0.148246310188272</v>
      </c>
      <c r="L23" s="2">
        <v>0.18623402030090699</v>
      </c>
      <c r="M23" s="2">
        <v>0.35921212348908299</v>
      </c>
      <c r="O23" s="3">
        <f t="shared" si="2"/>
        <v>0.31597616320055977</v>
      </c>
      <c r="P23" s="3">
        <f t="shared" si="0"/>
        <v>1.1847693546593874</v>
      </c>
      <c r="Q23" s="3">
        <f t="shared" si="0"/>
        <v>1.9986679156259735</v>
      </c>
      <c r="R23" s="1"/>
      <c r="S23" s="3">
        <f t="shared" si="3"/>
        <v>9.9840935710946779E-2</v>
      </c>
      <c r="T23" s="3">
        <f t="shared" si="1"/>
        <v>1.4036784237400213</v>
      </c>
      <c r="U23" s="3">
        <f t="shared" si="1"/>
        <v>3.9946734369526733</v>
      </c>
      <c r="V23" s="1"/>
      <c r="W23" s="1"/>
      <c r="X23" s="1"/>
      <c r="Y23" s="1"/>
    </row>
    <row r="24" spans="1:25" x14ac:dyDescent="0.3">
      <c r="A24" s="1" t="s">
        <v>24</v>
      </c>
      <c r="B24" s="2">
        <v>-18.068925329836599</v>
      </c>
      <c r="C24" s="2">
        <v>-8.0995834119667194</v>
      </c>
      <c r="D24" s="2">
        <v>0.48034161546541898</v>
      </c>
      <c r="E24" s="2">
        <v>0.15494306695927301</v>
      </c>
      <c r="F24" s="2">
        <v>9.9323425585806202E-2</v>
      </c>
      <c r="G24" s="2">
        <v>0.34977548962656002</v>
      </c>
      <c r="H24" s="2">
        <v>-18.067230848683401</v>
      </c>
      <c r="I24" s="2">
        <v>-8.1009926931217695</v>
      </c>
      <c r="J24" s="2">
        <v>0.47681851371086398</v>
      </c>
      <c r="K24" s="2">
        <v>0.15523933924993399</v>
      </c>
      <c r="L24" s="2">
        <v>9.9222079291242202E-2</v>
      </c>
      <c r="M24" s="2">
        <v>0.351255140499938</v>
      </c>
      <c r="O24" s="3">
        <f t="shared" si="2"/>
        <v>1.6944811531978132</v>
      </c>
      <c r="P24" s="3">
        <f t="shared" si="0"/>
        <v>1.4092811550501239</v>
      </c>
      <c r="Q24" s="3">
        <f t="shared" si="0"/>
        <v>3.5231017545550025</v>
      </c>
      <c r="R24" s="1"/>
      <c r="S24" s="3">
        <f t="shared" si="3"/>
        <v>2.8712663785425909</v>
      </c>
      <c r="T24" s="3">
        <f t="shared" si="1"/>
        <v>1.9860733739794112</v>
      </c>
      <c r="U24" s="3">
        <f t="shared" si="1"/>
        <v>12.412245972948536</v>
      </c>
      <c r="V24" s="1"/>
      <c r="W24" s="1"/>
      <c r="X24" s="1"/>
      <c r="Y24" s="1"/>
    </row>
    <row r="25" spans="1:25" x14ac:dyDescent="0.3">
      <c r="A25" s="1" t="s">
        <v>25</v>
      </c>
      <c r="B25" s="2">
        <v>-17.661262268669098</v>
      </c>
      <c r="C25" s="2">
        <v>-6.9448827746441504</v>
      </c>
      <c r="D25" s="2">
        <v>0.51475668731864399</v>
      </c>
      <c r="E25" s="2">
        <v>5.1936261879163802E-2</v>
      </c>
      <c r="F25" s="2">
        <v>5.1912969783708497E-2</v>
      </c>
      <c r="G25" s="2">
        <v>0.15434093559957801</v>
      </c>
      <c r="H25" s="2">
        <v>-17.661335530595199</v>
      </c>
      <c r="I25" s="2">
        <v>-6.9435957943014097</v>
      </c>
      <c r="J25" s="2">
        <v>0.51519858086493597</v>
      </c>
      <c r="K25" s="2">
        <v>5.2028383587114098E-2</v>
      </c>
      <c r="L25" s="2">
        <v>5.2192736067508301E-2</v>
      </c>
      <c r="M25" s="2">
        <v>0.15581539091756</v>
      </c>
      <c r="O25" s="3">
        <f t="shared" si="2"/>
        <v>7.3261926100798291E-2</v>
      </c>
      <c r="P25" s="3">
        <f t="shared" si="0"/>
        <v>1.2869803427406623</v>
      </c>
      <c r="Q25" s="3">
        <f t="shared" si="0"/>
        <v>0.44189354629198263</v>
      </c>
      <c r="R25" s="1"/>
      <c r="S25" s="3">
        <f t="shared" si="3"/>
        <v>5.3673098159988299E-3</v>
      </c>
      <c r="T25" s="3">
        <f t="shared" si="1"/>
        <v>1.6563184026008726</v>
      </c>
      <c r="U25" s="3">
        <f t="shared" si="1"/>
        <v>0.1952699062545046</v>
      </c>
      <c r="V25" s="1"/>
      <c r="W25" s="1"/>
      <c r="X25" s="1"/>
      <c r="Y25" s="1"/>
    </row>
    <row r="26" spans="1:25" x14ac:dyDescent="0.3">
      <c r="A26" s="1" t="s">
        <v>26</v>
      </c>
      <c r="B26" s="2">
        <v>-18.722792344427699</v>
      </c>
      <c r="C26" s="2">
        <v>-5.9104267573554496</v>
      </c>
      <c r="D26" s="2">
        <v>0.35537793745358598</v>
      </c>
      <c r="E26" s="2">
        <v>5.7446257751014897E-2</v>
      </c>
      <c r="F26" s="2">
        <v>4.91768585597184E-2</v>
      </c>
      <c r="G26" s="2">
        <v>0.225996890084947</v>
      </c>
      <c r="H26" s="2">
        <v>-18.722432302287601</v>
      </c>
      <c r="I26" s="2">
        <v>-5.9101705120511099</v>
      </c>
      <c r="J26" s="2">
        <v>0.35015852321962498</v>
      </c>
      <c r="K26" s="2">
        <v>5.7616593634779598E-2</v>
      </c>
      <c r="L26" s="2">
        <v>4.9244140541203699E-2</v>
      </c>
      <c r="M26" s="2">
        <v>0.22883706129280701</v>
      </c>
      <c r="O26" s="3">
        <f t="shared" si="2"/>
        <v>0.36004214009821567</v>
      </c>
      <c r="P26" s="3">
        <f t="shared" si="0"/>
        <v>0.25624530433976389</v>
      </c>
      <c r="Q26" s="3">
        <f t="shared" si="0"/>
        <v>5.219414233960995</v>
      </c>
      <c r="R26" s="1"/>
      <c r="S26" s="3">
        <f t="shared" si="3"/>
        <v>0.12963034264650317</v>
      </c>
      <c r="T26" s="3">
        <f t="shared" si="1"/>
        <v>6.5661655996178223E-2</v>
      </c>
      <c r="U26" s="3">
        <f t="shared" si="1"/>
        <v>27.242284945674641</v>
      </c>
      <c r="V26" s="1"/>
      <c r="W26" s="1"/>
      <c r="X26" s="1"/>
      <c r="Y26" s="1"/>
    </row>
    <row r="27" spans="1:25" x14ac:dyDescent="0.3">
      <c r="A27" s="1" t="s">
        <v>27</v>
      </c>
      <c r="B27" s="2">
        <v>-18.6932348395137</v>
      </c>
      <c r="C27" s="2">
        <v>-4.82727915774983</v>
      </c>
      <c r="D27" s="2">
        <v>-0.880757348382877</v>
      </c>
      <c r="E27" s="2">
        <v>0.62984288392973498</v>
      </c>
      <c r="F27" s="2">
        <v>0.47161703180191999</v>
      </c>
      <c r="G27" s="2">
        <v>0.63546392895743198</v>
      </c>
      <c r="H27" s="2">
        <v>-18.694096012401701</v>
      </c>
      <c r="I27" s="2">
        <v>-4.8280622658835997</v>
      </c>
      <c r="J27" s="2">
        <v>-0.88169489864351303</v>
      </c>
      <c r="K27" s="2">
        <v>0.63030567787825098</v>
      </c>
      <c r="L27" s="2">
        <v>0.47159231870274299</v>
      </c>
      <c r="M27" s="2">
        <v>0.63778264981841004</v>
      </c>
      <c r="O27" s="3">
        <f t="shared" si="2"/>
        <v>0.86117288800124925</v>
      </c>
      <c r="P27" s="3">
        <f t="shared" si="0"/>
        <v>0.78310813376969435</v>
      </c>
      <c r="Q27" s="3">
        <f t="shared" si="0"/>
        <v>0.93755026063602198</v>
      </c>
      <c r="R27" s="1"/>
      <c r="S27" s="3">
        <f t="shared" si="3"/>
        <v>0.74161874302841213</v>
      </c>
      <c r="T27" s="3">
        <f t="shared" si="1"/>
        <v>0.61325834917625355</v>
      </c>
      <c r="U27" s="3">
        <f t="shared" si="1"/>
        <v>0.87900049121867274</v>
      </c>
      <c r="V27" s="1"/>
      <c r="W27" s="1"/>
      <c r="X27" s="1"/>
      <c r="Y27" s="1"/>
    </row>
    <row r="28" spans="1:25" x14ac:dyDescent="0.3">
      <c r="A28" s="1" t="s">
        <v>28</v>
      </c>
      <c r="B28" s="2">
        <v>-17.9375288231039</v>
      </c>
      <c r="C28" s="2">
        <v>-8.2730578559593706</v>
      </c>
      <c r="D28" s="2">
        <v>-1.0218448333563599</v>
      </c>
      <c r="E28" s="2">
        <v>0.19538202824065601</v>
      </c>
      <c r="F28" s="2">
        <v>9.9969171025050194E-2</v>
      </c>
      <c r="G28" s="2">
        <v>0.54660945402564498</v>
      </c>
      <c r="H28" s="2">
        <v>-17.939217371344199</v>
      </c>
      <c r="I28" s="2">
        <v>-8.27414819932293</v>
      </c>
      <c r="J28" s="2">
        <v>-1.02330095564044</v>
      </c>
      <c r="K28" s="2">
        <v>0.197184753989845</v>
      </c>
      <c r="L28" s="2">
        <v>0.100747523931452</v>
      </c>
      <c r="M28" s="2">
        <v>0.55086317407434704</v>
      </c>
      <c r="O28" s="3">
        <f t="shared" si="2"/>
        <v>1.6885482402990704</v>
      </c>
      <c r="P28" s="3">
        <f t="shared" si="0"/>
        <v>1.0903433635593984</v>
      </c>
      <c r="Q28" s="3">
        <f t="shared" si="0"/>
        <v>1.4561222840800969</v>
      </c>
      <c r="R28" s="1"/>
      <c r="S28" s="3">
        <f t="shared" si="3"/>
        <v>2.8511951598170873</v>
      </c>
      <c r="T28" s="3">
        <f t="shared" si="1"/>
        <v>1.1888486504580225</v>
      </c>
      <c r="U28" s="3">
        <f t="shared" si="1"/>
        <v>2.1202921061946385</v>
      </c>
      <c r="V28" s="1"/>
      <c r="W28" s="1"/>
      <c r="X28" s="1"/>
      <c r="Y28" s="1"/>
    </row>
    <row r="29" spans="1:25" x14ac:dyDescent="0.3">
      <c r="A29" s="1" t="s">
        <v>29</v>
      </c>
      <c r="B29" s="2">
        <v>-18.229632381604102</v>
      </c>
      <c r="C29" s="2">
        <v>-7.8930684749721403</v>
      </c>
      <c r="D29" s="2">
        <v>-0.20923685666865799</v>
      </c>
      <c r="E29" s="2">
        <v>4.2531492225045202E-2</v>
      </c>
      <c r="F29" s="2">
        <v>3.6405812493025297E-2</v>
      </c>
      <c r="G29" s="2">
        <v>0.13807345622360201</v>
      </c>
      <c r="H29" s="2">
        <v>-18.230197174656901</v>
      </c>
      <c r="I29" s="2">
        <v>-7.8933428576264699</v>
      </c>
      <c r="J29" s="2">
        <v>-0.20553303215395399</v>
      </c>
      <c r="K29" s="2">
        <v>4.2664062675468302E-2</v>
      </c>
      <c r="L29" s="2">
        <v>3.6820184460109498E-2</v>
      </c>
      <c r="M29" s="2">
        <v>0.139649667560001</v>
      </c>
      <c r="O29" s="3">
        <f t="shared" si="2"/>
        <v>0.56479305279921732</v>
      </c>
      <c r="P29" s="3">
        <f t="shared" si="0"/>
        <v>0.27438265432966347</v>
      </c>
      <c r="Q29" s="3">
        <f t="shared" si="0"/>
        <v>3.7038245147039959</v>
      </c>
      <c r="R29" s="1"/>
      <c r="S29" s="3">
        <f t="shared" si="3"/>
        <v>0.31899119249025948</v>
      </c>
      <c r="T29" s="3">
        <f t="shared" si="1"/>
        <v>7.5285840996991593E-2</v>
      </c>
      <c r="U29" s="3">
        <f t="shared" si="1"/>
        <v>13.718316035722291</v>
      </c>
      <c r="V29" s="1"/>
      <c r="W29" s="1"/>
      <c r="X29" s="1"/>
      <c r="Y29" s="1"/>
    </row>
    <row r="30" spans="1:25" x14ac:dyDescent="0.3">
      <c r="A30" s="1" t="s">
        <v>30</v>
      </c>
      <c r="B30" s="2">
        <v>-16.608583458535801</v>
      </c>
      <c r="C30" s="2">
        <v>-8.6164995162903502</v>
      </c>
      <c r="D30" s="2">
        <v>0.13889627513512301</v>
      </c>
      <c r="E30" s="2">
        <v>9.3819204938465003E-2</v>
      </c>
      <c r="F30" s="2">
        <v>6.6047109491800607E-2</v>
      </c>
      <c r="G30" s="2">
        <v>0.26827801853035099</v>
      </c>
      <c r="H30" s="2">
        <v>-16.6083673976649</v>
      </c>
      <c r="I30" s="2">
        <v>-8.6160908027591692</v>
      </c>
      <c r="J30" s="2">
        <v>0.13899361025808599</v>
      </c>
      <c r="K30" s="2">
        <v>9.3948908847372004E-2</v>
      </c>
      <c r="L30" s="2">
        <v>6.61748158541383E-2</v>
      </c>
      <c r="M30" s="2">
        <v>0.269760911353289</v>
      </c>
      <c r="O30" s="3">
        <f t="shared" si="2"/>
        <v>0.21606087090120241</v>
      </c>
      <c r="P30" s="3">
        <f t="shared" si="0"/>
        <v>0.40871353118099307</v>
      </c>
      <c r="Q30" s="3">
        <f t="shared" si="0"/>
        <v>9.7335122962977083E-2</v>
      </c>
      <c r="R30" s="1"/>
      <c r="S30" s="3">
        <f t="shared" si="3"/>
        <v>4.6682299934586051E-2</v>
      </c>
      <c r="T30" s="3">
        <f t="shared" si="1"/>
        <v>0.16704675057043661</v>
      </c>
      <c r="U30" s="3">
        <f t="shared" si="1"/>
        <v>9.4741261622178687E-3</v>
      </c>
      <c r="V30" s="1"/>
      <c r="W30" s="1"/>
      <c r="X30" s="1"/>
      <c r="Y30" s="1"/>
    </row>
    <row r="31" spans="1:25" x14ac:dyDescent="0.3">
      <c r="A31" s="1" t="s">
        <v>31</v>
      </c>
      <c r="B31" s="2">
        <v>-15.801455021270799</v>
      </c>
      <c r="C31" s="2">
        <v>-8.7940032551467606</v>
      </c>
      <c r="D31" s="2">
        <v>-1.04214342356923</v>
      </c>
      <c r="E31" s="2">
        <v>6.7764574450681E-2</v>
      </c>
      <c r="F31" s="2">
        <v>5.4256980787185799E-2</v>
      </c>
      <c r="G31" s="2">
        <v>0.17302642461537701</v>
      </c>
      <c r="H31" s="2">
        <v>-15.8012300879395</v>
      </c>
      <c r="I31" s="2">
        <v>-8.7952812284302908</v>
      </c>
      <c r="J31" s="2">
        <v>-1.04253803988098</v>
      </c>
      <c r="K31" s="2">
        <v>6.7936543779663697E-2</v>
      </c>
      <c r="L31" s="2">
        <v>5.4422653076001297E-2</v>
      </c>
      <c r="M31" s="2">
        <v>0.17440073618116</v>
      </c>
      <c r="O31" s="3">
        <f t="shared" si="2"/>
        <v>0.2249333312995816</v>
      </c>
      <c r="P31" s="3">
        <f t="shared" si="0"/>
        <v>1.2779732835301871</v>
      </c>
      <c r="Q31" s="3">
        <f t="shared" si="0"/>
        <v>0.39461631175008449</v>
      </c>
      <c r="R31" s="1"/>
      <c r="S31" s="3">
        <f t="shared" si="3"/>
        <v>5.0595003529527331E-2</v>
      </c>
      <c r="T31" s="3">
        <f t="shared" si="1"/>
        <v>1.6332157134169281</v>
      </c>
      <c r="U31" s="3">
        <f t="shared" si="1"/>
        <v>0.15572203349923988</v>
      </c>
      <c r="V31" s="1"/>
      <c r="W31" s="1"/>
      <c r="X31" s="1"/>
      <c r="Y31" s="1"/>
    </row>
    <row r="32" spans="1:25" x14ac:dyDescent="0.3">
      <c r="A32" s="1" t="s">
        <v>32</v>
      </c>
      <c r="B32" s="2">
        <v>-17.810479136704298</v>
      </c>
      <c r="C32" s="2">
        <v>-8.6076970413691303</v>
      </c>
      <c r="D32" s="2">
        <v>0.51814778007534101</v>
      </c>
      <c r="E32" s="2">
        <v>5.1594775775445897E-2</v>
      </c>
      <c r="F32" s="2">
        <v>3.76914776914039E-2</v>
      </c>
      <c r="G32" s="2">
        <v>0.13743142862534899</v>
      </c>
      <c r="H32" s="2">
        <v>-17.810377234850201</v>
      </c>
      <c r="I32" s="2">
        <v>-8.6075362021551403</v>
      </c>
      <c r="J32" s="2">
        <v>0.51486497964573497</v>
      </c>
      <c r="K32" s="2">
        <v>5.15570040139363E-2</v>
      </c>
      <c r="L32" s="2">
        <v>3.7744960544008201E-2</v>
      </c>
      <c r="M32" s="2">
        <v>0.138428511839576</v>
      </c>
      <c r="O32" s="3">
        <f t="shared" ref="O32:O33" si="4">ABS(B32-H32)*1000</f>
        <v>0.10190185409797436</v>
      </c>
      <c r="P32" s="3">
        <f t="shared" ref="P32:P33" si="5">ABS(C32-I32)*1000</f>
        <v>0.16083921399001611</v>
      </c>
      <c r="Q32" s="3">
        <f t="shared" ref="Q32:Q33" si="6">ABS(D32-J32)*1000</f>
        <v>3.2828004296060476</v>
      </c>
      <c r="R32" s="1"/>
      <c r="S32" s="3">
        <f t="shared" ref="S32:S33" si="7">O32^2</f>
        <v>1.0383987868604855E-2</v>
      </c>
      <c r="T32" s="3">
        <f t="shared" ref="T32:T33" si="8">P32^2</f>
        <v>2.5869252756926194E-2</v>
      </c>
      <c r="U32" s="3">
        <f t="shared" ref="U32:U33" si="9">Q32^2</f>
        <v>10.77677866062165</v>
      </c>
    </row>
    <row r="33" spans="1:21" x14ac:dyDescent="0.3">
      <c r="A33" s="1" t="s">
        <v>33</v>
      </c>
      <c r="B33" s="2">
        <v>-18.542622860641799</v>
      </c>
      <c r="C33" s="2">
        <v>-7.6100945598050398</v>
      </c>
      <c r="D33" s="2">
        <v>-0.18056368693916899</v>
      </c>
      <c r="E33" s="2">
        <v>6.3654640201373097E-2</v>
      </c>
      <c r="F33" s="2">
        <v>4.6306450743799202E-2</v>
      </c>
      <c r="G33" s="2">
        <v>0.175570979952788</v>
      </c>
      <c r="H33" s="2">
        <v>-18.542811948781999</v>
      </c>
      <c r="I33" s="2">
        <v>-7.6100381801044596</v>
      </c>
      <c r="J33" s="2">
        <v>-0.18109967633513099</v>
      </c>
      <c r="K33" s="2">
        <v>6.3756809352025406E-2</v>
      </c>
      <c r="L33" s="2">
        <v>4.6365131329959799E-2</v>
      </c>
      <c r="M33" s="2">
        <v>0.176748041917306</v>
      </c>
      <c r="O33" s="3">
        <f t="shared" si="4"/>
        <v>0.18908814019980014</v>
      </c>
      <c r="P33" s="3">
        <f t="shared" si="5"/>
        <v>5.6379700580144743E-2</v>
      </c>
      <c r="Q33" s="3">
        <f t="shared" si="6"/>
        <v>0.5359893959619999</v>
      </c>
      <c r="R33" s="1"/>
      <c r="S33" s="3">
        <f t="shared" si="7"/>
        <v>3.5754324764219275E-2</v>
      </c>
      <c r="T33" s="3">
        <f t="shared" si="8"/>
        <v>3.1786706375067733E-3</v>
      </c>
      <c r="U33" s="3">
        <f t="shared" si="9"/>
        <v>0.28728463258370951</v>
      </c>
    </row>
  </sheetData>
  <mergeCells count="6">
    <mergeCell ref="W1:Y1"/>
    <mergeCell ref="A1:A2"/>
    <mergeCell ref="B1:G1"/>
    <mergeCell ref="H1:M1"/>
    <mergeCell ref="O1:Q1"/>
    <mergeCell ref="S1:U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Nevada_Velocity_Results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ugur gulsun</dc:creator>
  <cp:lastModifiedBy>ugur gulsun</cp:lastModifiedBy>
  <dcterms:created xsi:type="dcterms:W3CDTF">2026-06-09T12:18:03Z</dcterms:created>
  <dcterms:modified xsi:type="dcterms:W3CDTF">2026-06-09T12:30:59Z</dcterms:modified>
</cp:coreProperties>
</file>