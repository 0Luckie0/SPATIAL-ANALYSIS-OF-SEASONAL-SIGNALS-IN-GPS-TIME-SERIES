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Project_Time Series\Stations\Montana\"/>
    </mc:Choice>
  </mc:AlternateContent>
  <xr:revisionPtr revIDLastSave="0" documentId="13_ncr:1_{E1E97E17-0335-4457-80AB-30CB8CA2C2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ntana_Velocity_Results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" i="1" l="1"/>
  <c r="X3" i="1"/>
  <c r="W3" i="1"/>
  <c r="Q31" i="1"/>
  <c r="U31" i="1" s="1"/>
  <c r="P31" i="1"/>
  <c r="T31" i="1" s="1"/>
  <c r="O31" i="1"/>
  <c r="S31" i="1" s="1"/>
  <c r="Q30" i="1"/>
  <c r="U30" i="1" s="1"/>
  <c r="P30" i="1"/>
  <c r="T30" i="1" s="1"/>
  <c r="O30" i="1"/>
  <c r="S30" i="1" s="1"/>
  <c r="Q29" i="1"/>
  <c r="U29" i="1" s="1"/>
  <c r="P29" i="1"/>
  <c r="T29" i="1" s="1"/>
  <c r="O29" i="1"/>
  <c r="S29" i="1" s="1"/>
  <c r="Q28" i="1"/>
  <c r="U28" i="1" s="1"/>
  <c r="P28" i="1"/>
  <c r="T28" i="1" s="1"/>
  <c r="O28" i="1"/>
  <c r="S28" i="1" s="1"/>
  <c r="Q27" i="1"/>
  <c r="U27" i="1" s="1"/>
  <c r="P27" i="1"/>
  <c r="T27" i="1" s="1"/>
  <c r="O27" i="1"/>
  <c r="S27" i="1" s="1"/>
  <c r="Q26" i="1"/>
  <c r="U26" i="1" s="1"/>
  <c r="P26" i="1"/>
  <c r="T26" i="1" s="1"/>
  <c r="O26" i="1"/>
  <c r="S26" i="1" s="1"/>
  <c r="Q25" i="1"/>
  <c r="U25" i="1" s="1"/>
  <c r="P25" i="1"/>
  <c r="T25" i="1" s="1"/>
  <c r="O25" i="1"/>
  <c r="S25" i="1" s="1"/>
  <c r="U24" i="1"/>
  <c r="T24" i="1"/>
  <c r="Q24" i="1"/>
  <c r="P24" i="1"/>
  <c r="O24" i="1"/>
  <c r="S24" i="1" s="1"/>
  <c r="Q23" i="1"/>
  <c r="U23" i="1" s="1"/>
  <c r="P23" i="1"/>
  <c r="T23" i="1" s="1"/>
  <c r="O23" i="1"/>
  <c r="S23" i="1" s="1"/>
  <c r="Q22" i="1"/>
  <c r="U22" i="1" s="1"/>
  <c r="P22" i="1"/>
  <c r="T22" i="1" s="1"/>
  <c r="O22" i="1"/>
  <c r="S22" i="1" s="1"/>
  <c r="Q21" i="1"/>
  <c r="U21" i="1" s="1"/>
  <c r="P21" i="1"/>
  <c r="T21" i="1" s="1"/>
  <c r="O21" i="1"/>
  <c r="S21" i="1" s="1"/>
  <c r="Q20" i="1"/>
  <c r="U20" i="1" s="1"/>
  <c r="P20" i="1"/>
  <c r="T20" i="1" s="1"/>
  <c r="O20" i="1"/>
  <c r="S20" i="1" s="1"/>
  <c r="Q19" i="1"/>
  <c r="U19" i="1" s="1"/>
  <c r="P19" i="1"/>
  <c r="T19" i="1" s="1"/>
  <c r="O19" i="1"/>
  <c r="S19" i="1" s="1"/>
  <c r="Q18" i="1"/>
  <c r="U18" i="1" s="1"/>
  <c r="P18" i="1"/>
  <c r="T18" i="1" s="1"/>
  <c r="O18" i="1"/>
  <c r="S18" i="1" s="1"/>
  <c r="Q17" i="1"/>
  <c r="U17" i="1" s="1"/>
  <c r="P17" i="1"/>
  <c r="T17" i="1" s="1"/>
  <c r="O17" i="1"/>
  <c r="S17" i="1" s="1"/>
  <c r="U16" i="1"/>
  <c r="T16" i="1"/>
  <c r="Q16" i="1"/>
  <c r="P16" i="1"/>
  <c r="O16" i="1"/>
  <c r="S16" i="1" s="1"/>
  <c r="Q15" i="1"/>
  <c r="U15" i="1" s="1"/>
  <c r="P15" i="1"/>
  <c r="T15" i="1" s="1"/>
  <c r="O15" i="1"/>
  <c r="S15" i="1" s="1"/>
  <c r="Q14" i="1"/>
  <c r="U14" i="1" s="1"/>
  <c r="P14" i="1"/>
  <c r="T14" i="1" s="1"/>
  <c r="O14" i="1"/>
  <c r="S14" i="1" s="1"/>
  <c r="U13" i="1"/>
  <c r="Q13" i="1"/>
  <c r="P13" i="1"/>
  <c r="T13" i="1" s="1"/>
  <c r="O13" i="1"/>
  <c r="S13" i="1" s="1"/>
  <c r="Q12" i="1"/>
  <c r="U12" i="1" s="1"/>
  <c r="P12" i="1"/>
  <c r="T12" i="1" s="1"/>
  <c r="O12" i="1"/>
  <c r="S12" i="1" s="1"/>
  <c r="Q11" i="1"/>
  <c r="U11" i="1" s="1"/>
  <c r="P11" i="1"/>
  <c r="T11" i="1" s="1"/>
  <c r="O11" i="1"/>
  <c r="S11" i="1" s="1"/>
  <c r="Q10" i="1"/>
  <c r="U10" i="1" s="1"/>
  <c r="P10" i="1"/>
  <c r="T10" i="1" s="1"/>
  <c r="O10" i="1"/>
  <c r="S10" i="1" s="1"/>
  <c r="Q9" i="1"/>
  <c r="U9" i="1" s="1"/>
  <c r="P9" i="1"/>
  <c r="T9" i="1" s="1"/>
  <c r="O9" i="1"/>
  <c r="S9" i="1" s="1"/>
  <c r="U8" i="1"/>
  <c r="T8" i="1"/>
  <c r="Q8" i="1"/>
  <c r="P8" i="1"/>
  <c r="O8" i="1"/>
  <c r="S8" i="1" s="1"/>
  <c r="Q7" i="1"/>
  <c r="U7" i="1" s="1"/>
  <c r="P7" i="1"/>
  <c r="T7" i="1" s="1"/>
  <c r="O7" i="1"/>
  <c r="S7" i="1" s="1"/>
  <c r="Q6" i="1"/>
  <c r="U6" i="1" s="1"/>
  <c r="P6" i="1"/>
  <c r="T6" i="1" s="1"/>
  <c r="O6" i="1"/>
  <c r="S6" i="1" s="1"/>
  <c r="Q5" i="1"/>
  <c r="U5" i="1" s="1"/>
  <c r="P5" i="1"/>
  <c r="T5" i="1" s="1"/>
  <c r="O5" i="1"/>
  <c r="S5" i="1" s="1"/>
  <c r="Q4" i="1"/>
  <c r="U4" i="1" s="1"/>
  <c r="P4" i="1"/>
  <c r="T4" i="1" s="1"/>
  <c r="O4" i="1"/>
  <c r="S4" i="1" s="1"/>
  <c r="Q3" i="1"/>
  <c r="U3" i="1" s="1"/>
  <c r="P3" i="1"/>
  <c r="T3" i="1" s="1"/>
  <c r="O3" i="1"/>
  <c r="S3" i="1" s="1"/>
</calcChain>
</file>

<file path=xl/sharedStrings.xml><?xml version="1.0" encoding="utf-8"?>
<sst xmlns="http://schemas.openxmlformats.org/spreadsheetml/2006/main" count="56" uniqueCount="47">
  <si>
    <t>Annual + Semi-Annual + Quarter-Annual</t>
  </si>
  <si>
    <t>Annual + Semi-Annual</t>
  </si>
  <si>
    <t>Station</t>
  </si>
  <si>
    <t>HAML</t>
  </si>
  <si>
    <t>MSOL</t>
  </si>
  <si>
    <t>MTDT</t>
  </si>
  <si>
    <t>MTEI</t>
  </si>
  <si>
    <t>MTLW</t>
  </si>
  <si>
    <t>MTMS</t>
  </si>
  <si>
    <t>MTSU</t>
  </si>
  <si>
    <t>NOMT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</si>
  <si>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</si>
  <si>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</si>
  <si>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</si>
  <si>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</si>
  <si>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</si>
  <si>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</si>
  <si>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</si>
  <si>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</si>
  <si>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</si>
  <si>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</si>
  <si>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P456</t>
  </si>
  <si>
    <t>P457</t>
  </si>
  <si>
    <t>P458</t>
  </si>
  <si>
    <t>P460</t>
  </si>
  <si>
    <t>P461</t>
  </si>
  <si>
    <t>P680</t>
  </si>
  <si>
    <t>P706</t>
  </si>
  <si>
    <t>P707</t>
  </si>
  <si>
    <t>P712</t>
  </si>
  <si>
    <t>P719</t>
  </si>
  <si>
    <t>P722</t>
  </si>
  <si>
    <t>ΔV</t>
  </si>
  <si>
    <t>[VV]</t>
  </si>
  <si>
    <t>RMSE</t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</si>
  <si>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E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</si>
  <si>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N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</si>
  <si>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U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</si>
  <si>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E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</si>
  <si>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N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</si>
  <si>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U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</si>
  <si>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r>
      <t>V</t>
    </r>
    <r>
      <rPr>
        <vertAlign val="subscript"/>
        <sz val="11"/>
        <color theme="1"/>
        <rFont val="Calibri"/>
        <family val="2"/>
        <charset val="162"/>
        <scheme val="minor"/>
      </rPr>
      <t>E</t>
    </r>
  </si>
  <si>
    <r>
      <t>V</t>
    </r>
    <r>
      <rPr>
        <vertAlign val="subscript"/>
        <sz val="11"/>
        <color theme="1"/>
        <rFont val="Calibri"/>
        <family val="2"/>
        <charset val="162"/>
        <scheme val="minor"/>
      </rPr>
      <t>N</t>
    </r>
  </si>
  <si>
    <r>
      <t>V</t>
    </r>
    <r>
      <rPr>
        <vertAlign val="subscript"/>
        <sz val="11"/>
        <color theme="1"/>
        <rFont val="Calibri"/>
        <family val="2"/>
        <charset val="162"/>
        <scheme val="minor"/>
      </rPr>
      <t>U</t>
    </r>
  </si>
  <si>
    <r>
      <t>σ</t>
    </r>
    <r>
      <rPr>
        <vertAlign val="subscript"/>
        <sz val="11"/>
        <color theme="1"/>
        <rFont val="Calibri"/>
        <family val="2"/>
        <charset val="162"/>
        <scheme val="minor"/>
      </rPr>
      <t>E</t>
    </r>
  </si>
  <si>
    <r>
      <t>σ</t>
    </r>
    <r>
      <rPr>
        <vertAlign val="subscript"/>
        <sz val="11"/>
        <color theme="1"/>
        <rFont val="Calibri"/>
        <family val="2"/>
        <charset val="162"/>
        <scheme val="minor"/>
      </rPr>
      <t>N</t>
    </r>
  </si>
  <si>
    <r>
      <t>σ</t>
    </r>
    <r>
      <rPr>
        <vertAlign val="subscript"/>
        <sz val="11"/>
        <color theme="1"/>
        <rFont val="Calibri"/>
        <family val="2"/>
        <charset val="162"/>
        <scheme val="minor"/>
      </rPr>
      <t>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</si>
</sst>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vertAlign val="subscript"/>
      <sz val="11"/>
      <color theme="1"/>
      <name val="Calibri"/>
      <family val="2"/>
      <charset val="162"/>
      <scheme val="minor"/>
    </font>
    <font>
      <vertAlign val="superscript"/>
      <sz val="11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tabSelected="1" workbookViewId="0">
      <selection activeCell="N6" sqref="N6"/>
    </sheetView>
  </sheetViews>
  <sheetFormatPr defaultRowHeight="14.4" x14ac:dyDescent="0.3"/>
  <cols>
    <col min="2" max="3" width="9.21875" bestFit="1" customWidth="1"/>
    <col min="4" max="7" width="9" bestFit="1" customWidth="1"/>
    <col min="8" max="9" width="9.21875" bestFit="1" customWidth="1"/>
    <col min="10" max="13" width="9" bestFit="1" customWidth="1"/>
  </cols>
  <sheetData>
    <row r="1" spans="1:25" x14ac:dyDescent="0.3">
      <c r="A1" s="5" t="s">
        <v>2</v>
      </c>
      <c r="B1" s="5" t="s">
        <v>0</v>
      </c>
      <c r="C1" s="5"/>
      <c r="D1" s="5"/>
      <c r="E1" s="5"/>
      <c r="F1" s="5"/>
      <c r="G1" s="5"/>
      <c r="H1" s="5" t="s">
        <v>1</v>
      </c>
      <c r="I1" s="5"/>
      <c r="J1" s="5"/>
      <c r="K1" s="5"/>
      <c r="L1" s="5"/>
      <c r="M1" s="5"/>
      <c r="O1" s="6" t="s">
        <v>32</v>
      </c>
      <c r="P1" s="6"/>
      <c r="Q1" s="6"/>
      <c r="S1" s="6" t="s">
        <v>33</v>
      </c>
      <c r="T1" s="6"/>
      <c r="U1" s="6"/>
      <c r="W1" s="5" t="s">
        <v>34</v>
      </c>
      <c r="X1" s="5"/>
      <c r="Y1" s="5"/>
    </row>
    <row r="2" spans="1:25" ht="16.2" x14ac:dyDescent="0.3">
      <c r="A2" s="5"/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O2" s="1" t="s">
        <v>35</v>
      </c>
      <c r="P2" s="1" t="s">
        <v>36</v>
      </c>
      <c r="Q2" s="1" t="s">
        <v>37</v>
      </c>
      <c r="R2" s="1"/>
      <c r="S2" s="1" t="s">
        <v>38</v>
      </c>
      <c r="T2" s="1" t="s">
        <v>39</v>
      </c>
      <c r="U2" s="1" t="s">
        <v>40</v>
      </c>
      <c r="V2" s="1"/>
      <c r="W2" s="1" t="s">
        <v>41</v>
      </c>
      <c r="X2" s="1" t="s">
        <v>42</v>
      </c>
      <c r="Y2" s="1" t="s">
        <v>43</v>
      </c>
    </row>
    <row r="3" spans="1:25" x14ac:dyDescent="0.3">
      <c r="A3" s="1" t="s">
        <v>3</v>
      </c>
      <c r="B3" s="2">
        <v>-14.301031874103099</v>
      </c>
      <c r="C3" s="2">
        <v>-9.1349775027332303</v>
      </c>
      <c r="D3" s="2">
        <v>-0.95645583078604102</v>
      </c>
      <c r="E3" s="2">
        <v>0.224397951330669</v>
      </c>
      <c r="F3" s="2">
        <v>0.23265127985053199</v>
      </c>
      <c r="G3" s="2">
        <v>0.61692518125872498</v>
      </c>
      <c r="H3" s="2">
        <v>-14.3018670402125</v>
      </c>
      <c r="I3" s="2">
        <v>-9.1333303684214506</v>
      </c>
      <c r="J3" s="2">
        <v>-0.95785276543387698</v>
      </c>
      <c r="K3" s="2">
        <v>0.22475312349043999</v>
      </c>
      <c r="L3" s="2">
        <v>0.235565473021768</v>
      </c>
      <c r="M3" s="2">
        <v>0.62277338837954799</v>
      </c>
      <c r="O3" s="3">
        <f>ABS(B3-H3)*1000</f>
        <v>0.83516610940037594</v>
      </c>
      <c r="P3" s="3">
        <f t="shared" ref="P3:Q31" si="0">ABS(C3-I3)*1000</f>
        <v>1.6471343117796522</v>
      </c>
      <c r="Q3" s="3">
        <f t="shared" si="0"/>
        <v>1.3969346478359679</v>
      </c>
      <c r="R3" s="1"/>
      <c r="S3" s="3">
        <f>O3^2</f>
        <v>0.69750243029096071</v>
      </c>
      <c r="T3" s="3">
        <f t="shared" ref="T3:U31" si="1">P3^2</f>
        <v>2.7130514410418285</v>
      </c>
      <c r="U3" s="3">
        <f t="shared" si="1"/>
        <v>1.9514264103245995</v>
      </c>
      <c r="V3" s="1"/>
      <c r="W3" s="2">
        <f>SQRT(SUM(S3:S31)/29)</f>
        <v>1.7279236434389238</v>
      </c>
      <c r="X3" s="2">
        <f>SQRT(SUM(T3:T31)/29)</f>
        <v>1.8902733080517176</v>
      </c>
      <c r="Y3" s="2">
        <f>SQRT(SUM(U3:U31)/29)</f>
        <v>3.7425564761847645</v>
      </c>
    </row>
    <row r="4" spans="1:25" x14ac:dyDescent="0.3">
      <c r="A4" s="1" t="s">
        <v>4</v>
      </c>
      <c r="B4" s="2">
        <v>-14.4074814199431</v>
      </c>
      <c r="C4" s="2">
        <v>-9.6291797571880799</v>
      </c>
      <c r="D4" s="2">
        <v>-1.0301834543319499</v>
      </c>
      <c r="E4" s="2">
        <v>7.0784586055474302E-2</v>
      </c>
      <c r="F4" s="2">
        <v>7.5070693087827906E-2</v>
      </c>
      <c r="G4" s="2">
        <v>0.26424524645906</v>
      </c>
      <c r="H4" s="2">
        <v>-14.409474514137701</v>
      </c>
      <c r="I4" s="2">
        <v>-9.6299981019849401</v>
      </c>
      <c r="J4" s="2">
        <v>-1.02953476598028</v>
      </c>
      <c r="K4" s="2">
        <v>7.0997084501086299E-2</v>
      </c>
      <c r="L4" s="2">
        <v>7.5133482618989195E-2</v>
      </c>
      <c r="M4" s="2">
        <v>0.26680588215116802</v>
      </c>
      <c r="O4" s="3">
        <f t="shared" ref="O4:O31" si="2">ABS(B4-H4)*1000</f>
        <v>1.9930941946011416</v>
      </c>
      <c r="P4" s="3">
        <f t="shared" si="0"/>
        <v>0.81834479686015982</v>
      </c>
      <c r="Q4" s="3">
        <f t="shared" si="0"/>
        <v>0.64868835166986827</v>
      </c>
      <c r="R4" s="1"/>
      <c r="S4" s="3">
        <f t="shared" ref="S4:S31" si="3">O4^2</f>
        <v>3.9724244685527732</v>
      </c>
      <c r="T4" s="3">
        <f t="shared" si="1"/>
        <v>0.66968820654809624</v>
      </c>
      <c r="U4" s="3">
        <f t="shared" si="1"/>
        <v>0.42079657759217071</v>
      </c>
      <c r="V4" s="1"/>
      <c r="W4" s="2"/>
      <c r="X4" s="2"/>
      <c r="Y4" s="2"/>
    </row>
    <row r="5" spans="1:25" x14ac:dyDescent="0.3">
      <c r="A5" s="1" t="s">
        <v>5</v>
      </c>
      <c r="B5" s="2">
        <v>-14.1978211571237</v>
      </c>
      <c r="C5" s="2">
        <v>-9.4439871716407993</v>
      </c>
      <c r="D5" s="2">
        <v>-1.2396066545148401</v>
      </c>
      <c r="E5" s="2">
        <v>8.0021680004352905E-2</v>
      </c>
      <c r="F5" s="2">
        <v>0.102864480754742</v>
      </c>
      <c r="G5" s="2">
        <v>0.26105945323759999</v>
      </c>
      <c r="H5" s="2">
        <v>-14.195942440909899</v>
      </c>
      <c r="I5" s="2">
        <v>-9.4434116297588293</v>
      </c>
      <c r="J5" s="2">
        <v>-1.2372107885979899</v>
      </c>
      <c r="K5" s="2">
        <v>8.0383561515503396E-2</v>
      </c>
      <c r="L5" s="2">
        <v>0.103531148961695</v>
      </c>
      <c r="M5" s="2">
        <v>0.26144121674930698</v>
      </c>
      <c r="O5" s="3">
        <f t="shared" si="2"/>
        <v>1.8787162138007574</v>
      </c>
      <c r="P5" s="3">
        <f t="shared" si="0"/>
        <v>0.57554188196995426</v>
      </c>
      <c r="Q5" s="3">
        <f t="shared" si="0"/>
        <v>2.3958659168501484</v>
      </c>
      <c r="R5" s="1"/>
      <c r="S5" s="3">
        <f t="shared" si="3"/>
        <v>3.5295746119978531</v>
      </c>
      <c r="T5" s="3">
        <f t="shared" si="1"/>
        <v>0.33124845790151675</v>
      </c>
      <c r="U5" s="3">
        <f t="shared" si="1"/>
        <v>5.7401734915242022</v>
      </c>
      <c r="V5" s="1"/>
      <c r="W5" s="1"/>
      <c r="X5" s="1"/>
      <c r="Y5" s="1"/>
    </row>
    <row r="6" spans="1:25" x14ac:dyDescent="0.3">
      <c r="A6" s="1" t="s">
        <v>6</v>
      </c>
      <c r="B6" s="2">
        <v>-14.993072966770701</v>
      </c>
      <c r="C6" s="2">
        <v>-8.2117393237018508</v>
      </c>
      <c r="D6" s="2">
        <v>-1.7409321859675999</v>
      </c>
      <c r="E6" s="2">
        <v>4.2667584392017698E-2</v>
      </c>
      <c r="F6" s="2">
        <v>4.4226059354071701E-2</v>
      </c>
      <c r="G6" s="2">
        <v>0.18081451355161801</v>
      </c>
      <c r="H6" s="2">
        <v>-14.993762286167399</v>
      </c>
      <c r="I6" s="2">
        <v>-8.21301160333776</v>
      </c>
      <c r="J6" s="2">
        <v>-1.7371329484413101</v>
      </c>
      <c r="K6" s="2">
        <v>4.2712672055698599E-2</v>
      </c>
      <c r="L6" s="2">
        <v>4.4278471915380702E-2</v>
      </c>
      <c r="M6" s="2">
        <v>0.18104795165408799</v>
      </c>
      <c r="O6" s="3">
        <f t="shared" si="2"/>
        <v>0.68931939669880649</v>
      </c>
      <c r="P6" s="3">
        <f t="shared" si="0"/>
        <v>1.272279635909257</v>
      </c>
      <c r="Q6" s="3">
        <f t="shared" si="0"/>
        <v>3.7992375262898559</v>
      </c>
      <c r="R6" s="1"/>
      <c r="S6" s="3">
        <f t="shared" si="3"/>
        <v>0.47516123066520655</v>
      </c>
      <c r="T6" s="3">
        <f t="shared" si="1"/>
        <v>1.6186954719493916</v>
      </c>
      <c r="U6" s="3">
        <f t="shared" si="1"/>
        <v>14.434205781169064</v>
      </c>
      <c r="V6" s="1"/>
      <c r="W6" s="1"/>
      <c r="X6" s="1"/>
      <c r="Y6" s="1"/>
    </row>
    <row r="7" spans="1:25" x14ac:dyDescent="0.3">
      <c r="A7" s="1" t="s">
        <v>7</v>
      </c>
      <c r="B7" s="2">
        <v>-14.9812533285718</v>
      </c>
      <c r="C7" s="2">
        <v>-8.4884323603514797</v>
      </c>
      <c r="D7" s="2">
        <v>-1.1324043987863699</v>
      </c>
      <c r="E7" s="2">
        <v>4.0212602335834999E-2</v>
      </c>
      <c r="F7" s="2">
        <v>4.41567850730415E-2</v>
      </c>
      <c r="G7" s="2">
        <v>0.107703532826997</v>
      </c>
      <c r="H7" s="2">
        <v>-14.9808009986179</v>
      </c>
      <c r="I7" s="2">
        <v>-8.4882635205325592</v>
      </c>
      <c r="J7" s="2">
        <v>-1.1329589992014899</v>
      </c>
      <c r="K7" s="2">
        <v>4.0489309160242903E-2</v>
      </c>
      <c r="L7" s="2">
        <v>4.4992263701074002E-2</v>
      </c>
      <c r="M7" s="2">
        <v>0.10851962641596199</v>
      </c>
      <c r="O7" s="3">
        <f t="shared" si="2"/>
        <v>0.45232995389987707</v>
      </c>
      <c r="P7" s="3">
        <f t="shared" si="0"/>
        <v>0.1688398189205742</v>
      </c>
      <c r="Q7" s="3">
        <f t="shared" si="0"/>
        <v>0.55460041512001013</v>
      </c>
      <c r="R7" s="1"/>
      <c r="S7" s="3">
        <f t="shared" si="3"/>
        <v>0.20460238719506491</v>
      </c>
      <c r="T7" s="3">
        <f t="shared" si="1"/>
        <v>2.8506884453132285E-2</v>
      </c>
      <c r="U7" s="3">
        <f t="shared" si="1"/>
        <v>0.30758162045128756</v>
      </c>
      <c r="V7" s="1"/>
      <c r="W7" s="1"/>
      <c r="X7" s="1"/>
      <c r="Y7" s="1"/>
    </row>
    <row r="8" spans="1:25" x14ac:dyDescent="0.3">
      <c r="A8" s="1" t="s">
        <v>8</v>
      </c>
      <c r="B8" s="2">
        <v>-15.3104777907671</v>
      </c>
      <c r="C8" s="2">
        <v>-8.7696895956954304</v>
      </c>
      <c r="D8" s="2">
        <v>-1.6840769916470799</v>
      </c>
      <c r="E8" s="2">
        <v>3.85627358172516E-2</v>
      </c>
      <c r="F8" s="2">
        <v>4.8215352369339402E-2</v>
      </c>
      <c r="G8" s="2">
        <v>0.16934036816266099</v>
      </c>
      <c r="H8" s="2">
        <v>-15.310073263604201</v>
      </c>
      <c r="I8" s="2">
        <v>-8.7709910579204404</v>
      </c>
      <c r="J8" s="2">
        <v>-1.685032801992</v>
      </c>
      <c r="K8" s="2">
        <v>3.8612167601239498E-2</v>
      </c>
      <c r="L8" s="2">
        <v>4.8223060497500303E-2</v>
      </c>
      <c r="M8" s="2">
        <v>0.169217761457996</v>
      </c>
      <c r="O8" s="3">
        <f t="shared" si="2"/>
        <v>0.40452716289962609</v>
      </c>
      <c r="P8" s="3">
        <f t="shared" si="0"/>
        <v>1.3014622250100416</v>
      </c>
      <c r="Q8" s="3">
        <f t="shared" si="0"/>
        <v>0.95581034492009387</v>
      </c>
      <c r="R8" s="1"/>
      <c r="S8" s="3">
        <f t="shared" si="3"/>
        <v>0.16364222552362062</v>
      </c>
      <c r="T8" s="3">
        <f t="shared" si="1"/>
        <v>1.6938039231280881</v>
      </c>
      <c r="U8" s="3">
        <f t="shared" si="1"/>
        <v>0.9135734154562688</v>
      </c>
      <c r="V8" s="1"/>
      <c r="W8" s="1"/>
      <c r="X8" s="1"/>
      <c r="Y8" s="1"/>
    </row>
    <row r="9" spans="1:25" x14ac:dyDescent="0.3">
      <c r="A9" s="1" t="s">
        <v>9</v>
      </c>
      <c r="B9" s="2">
        <v>-14.5490165002187</v>
      </c>
      <c r="C9" s="2">
        <v>-8.4527758757368598</v>
      </c>
      <c r="D9" s="2">
        <v>-0.88521064523458304</v>
      </c>
      <c r="E9" s="2">
        <v>6.4064933204305605E-2</v>
      </c>
      <c r="F9" s="2">
        <v>8.3071469014245905E-2</v>
      </c>
      <c r="G9" s="2">
        <v>0.199853403773817</v>
      </c>
      <c r="H9" s="2">
        <v>-14.5431862723816</v>
      </c>
      <c r="I9" s="2">
        <v>-8.4491642928071506</v>
      </c>
      <c r="J9" s="2">
        <v>-0.88836374217061198</v>
      </c>
      <c r="K9" s="2">
        <v>6.4677483304266495E-2</v>
      </c>
      <c r="L9" s="2">
        <v>8.36313555518194E-2</v>
      </c>
      <c r="M9" s="2">
        <v>0.19972326787424499</v>
      </c>
      <c r="O9" s="3">
        <f t="shared" si="2"/>
        <v>5.830227837099855</v>
      </c>
      <c r="P9" s="3">
        <f t="shared" si="0"/>
        <v>3.6115829297092006</v>
      </c>
      <c r="Q9" s="3">
        <f t="shared" si="0"/>
        <v>3.1530969360289429</v>
      </c>
      <c r="R9" s="1"/>
      <c r="S9" s="3">
        <f t="shared" si="3"/>
        <v>33.991556632494053</v>
      </c>
      <c r="T9" s="3">
        <f t="shared" si="1"/>
        <v>13.043531258166892</v>
      </c>
      <c r="U9" s="3">
        <f t="shared" si="1"/>
        <v>9.9420202879951081</v>
      </c>
      <c r="V9" s="1"/>
      <c r="W9" s="1"/>
      <c r="X9" s="1"/>
      <c r="Y9" s="1"/>
    </row>
    <row r="10" spans="1:25" x14ac:dyDescent="0.3">
      <c r="A10" s="1" t="s">
        <v>10</v>
      </c>
      <c r="B10" s="2">
        <v>-14.5162587594457</v>
      </c>
      <c r="C10" s="2">
        <v>-8.9462931629244693</v>
      </c>
      <c r="D10" s="2">
        <v>-0.56523700506924901</v>
      </c>
      <c r="E10" s="2">
        <v>3.4231452509830097E-2</v>
      </c>
      <c r="F10" s="2">
        <v>2.7693494928372499E-2</v>
      </c>
      <c r="G10" s="2">
        <v>9.1771331312633098E-2</v>
      </c>
      <c r="H10" s="2">
        <v>-14.5164059786777</v>
      </c>
      <c r="I10" s="2">
        <v>-8.9464572889757896</v>
      </c>
      <c r="J10" s="2">
        <v>-0.56659154994343797</v>
      </c>
      <c r="K10" s="2">
        <v>3.4307179526508899E-2</v>
      </c>
      <c r="L10" s="2">
        <v>2.7720668714214899E-2</v>
      </c>
      <c r="M10" s="2">
        <v>9.23702031420474E-2</v>
      </c>
      <c r="O10" s="3">
        <f t="shared" si="2"/>
        <v>0.14721923199978448</v>
      </c>
      <c r="P10" s="3">
        <f t="shared" si="0"/>
        <v>0.16412605132032354</v>
      </c>
      <c r="Q10" s="3">
        <f t="shared" si="0"/>
        <v>1.3545448741889565</v>
      </c>
      <c r="R10" s="1"/>
      <c r="S10" s="3">
        <f t="shared" si="3"/>
        <v>2.1673502270606368E-2</v>
      </c>
      <c r="T10" s="3">
        <f t="shared" si="1"/>
        <v>2.6937360722001476E-2</v>
      </c>
      <c r="U10" s="3">
        <f t="shared" si="1"/>
        <v>1.8347918161915762</v>
      </c>
      <c r="V10" s="1"/>
      <c r="W10" s="1"/>
      <c r="X10" s="1"/>
      <c r="Y10" s="1"/>
    </row>
    <row r="11" spans="1:25" x14ac:dyDescent="0.3">
      <c r="A11" s="1" t="s">
        <v>11</v>
      </c>
      <c r="B11" s="2">
        <v>-14.2310060526965</v>
      </c>
      <c r="C11" s="2">
        <v>-9.7030581486829206</v>
      </c>
      <c r="D11" s="2">
        <v>-0.62620624842311201</v>
      </c>
      <c r="E11" s="2">
        <v>6.0919015225699098E-2</v>
      </c>
      <c r="F11" s="2">
        <v>6.2679424656704896E-2</v>
      </c>
      <c r="G11" s="2">
        <v>0.306179487721845</v>
      </c>
      <c r="H11" s="2">
        <v>-14.231577289558601</v>
      </c>
      <c r="I11" s="2">
        <v>-9.7006266087321595</v>
      </c>
      <c r="J11" s="2">
        <v>-0.62485799136423403</v>
      </c>
      <c r="K11" s="2">
        <v>6.0930078732824501E-2</v>
      </c>
      <c r="L11" s="2">
        <v>6.3366571168288394E-2</v>
      </c>
      <c r="M11" s="2">
        <v>0.30729083440714899</v>
      </c>
      <c r="O11" s="3">
        <f t="shared" si="2"/>
        <v>0.57123686210047708</v>
      </c>
      <c r="P11" s="3">
        <f t="shared" si="0"/>
        <v>2.4315399507610636</v>
      </c>
      <c r="Q11" s="3">
        <f t="shared" si="0"/>
        <v>1.3482570588779774</v>
      </c>
      <c r="R11" s="1"/>
      <c r="S11" s="3">
        <f t="shared" si="3"/>
        <v>0.32631155262239947</v>
      </c>
      <c r="T11" s="3">
        <f t="shared" si="1"/>
        <v>5.9123865321471154</v>
      </c>
      <c r="U11" s="3">
        <f t="shared" si="1"/>
        <v>1.8177970968142938</v>
      </c>
      <c r="V11" s="1"/>
      <c r="W11" s="1"/>
      <c r="X11" s="1"/>
      <c r="Y11" s="1"/>
    </row>
    <row r="12" spans="1:25" x14ac:dyDescent="0.3">
      <c r="A12" s="1" t="s">
        <v>12</v>
      </c>
      <c r="B12" s="2">
        <v>-14.279983975382599</v>
      </c>
      <c r="C12" s="2">
        <v>-9.77650105941572</v>
      </c>
      <c r="D12" s="2">
        <v>-0.39622547457456198</v>
      </c>
      <c r="E12" s="2">
        <v>4.3204851718051697E-2</v>
      </c>
      <c r="F12" s="2">
        <v>3.1507836110708801E-2</v>
      </c>
      <c r="G12" s="2">
        <v>0.14737714253006401</v>
      </c>
      <c r="H12" s="2">
        <v>-14.279796278685099</v>
      </c>
      <c r="I12" s="2">
        <v>-9.7778912812474399</v>
      </c>
      <c r="J12" s="2">
        <v>-0.39136410550815198</v>
      </c>
      <c r="K12" s="2">
        <v>4.3199609914107998E-2</v>
      </c>
      <c r="L12" s="2">
        <v>3.1707874673917301E-2</v>
      </c>
      <c r="M12" s="2">
        <v>0.14811194177381801</v>
      </c>
      <c r="O12" s="3">
        <f t="shared" si="2"/>
        <v>0.18769669750007267</v>
      </c>
      <c r="P12" s="3">
        <f t="shared" si="0"/>
        <v>1.3902218317198844</v>
      </c>
      <c r="Q12" s="3">
        <f t="shared" si="0"/>
        <v>4.8613690664099929</v>
      </c>
      <c r="R12" s="1"/>
      <c r="S12" s="3">
        <f t="shared" si="3"/>
        <v>3.5230050252433788E-2</v>
      </c>
      <c r="T12" s="3">
        <f t="shared" si="1"/>
        <v>1.9327167413905908</v>
      </c>
      <c r="U12" s="3">
        <f t="shared" si="1"/>
        <v>23.632909199847965</v>
      </c>
      <c r="V12" s="1"/>
      <c r="W12" s="1"/>
      <c r="X12" s="1"/>
      <c r="Y12" s="1"/>
    </row>
    <row r="13" spans="1:25" x14ac:dyDescent="0.3">
      <c r="A13" s="1" t="s">
        <v>13</v>
      </c>
      <c r="B13" s="2">
        <v>-14.637814021950501</v>
      </c>
      <c r="C13" s="2">
        <v>-8.2287203237165691</v>
      </c>
      <c r="D13" s="2">
        <v>-0.74201662037225702</v>
      </c>
      <c r="E13" s="2">
        <v>4.5978727843601699E-2</v>
      </c>
      <c r="F13" s="2">
        <v>4.3147719987684199E-2</v>
      </c>
      <c r="G13" s="2">
        <v>0.20722167807288699</v>
      </c>
      <c r="H13" s="2">
        <v>-14.6372025142878</v>
      </c>
      <c r="I13" s="2">
        <v>-8.2273590444553903</v>
      </c>
      <c r="J13" s="2">
        <v>-0.74933132417703596</v>
      </c>
      <c r="K13" s="2">
        <v>4.61361586370743E-2</v>
      </c>
      <c r="L13" s="2">
        <v>4.3343896778525098E-2</v>
      </c>
      <c r="M13" s="2">
        <v>0.208619516896241</v>
      </c>
      <c r="O13" s="3">
        <f t="shared" si="2"/>
        <v>0.6115076627004612</v>
      </c>
      <c r="P13" s="3">
        <f t="shared" si="0"/>
        <v>1.3612792611787938</v>
      </c>
      <c r="Q13" s="3">
        <f t="shared" si="0"/>
        <v>7.3147038047789437</v>
      </c>
      <c r="R13" s="1"/>
      <c r="S13" s="3">
        <f t="shared" si="3"/>
        <v>0.373941621541381</v>
      </c>
      <c r="T13" s="3">
        <f t="shared" si="1"/>
        <v>1.8530812269154828</v>
      </c>
      <c r="U13" s="3">
        <f t="shared" si="1"/>
        <v>53.504891751647556</v>
      </c>
      <c r="V13" s="1"/>
      <c r="W13" s="1"/>
      <c r="X13" s="1"/>
      <c r="Y13" s="1"/>
    </row>
    <row r="14" spans="1:25" x14ac:dyDescent="0.3">
      <c r="A14" s="1" t="s">
        <v>14</v>
      </c>
      <c r="B14" s="2">
        <v>-14.8309629003236</v>
      </c>
      <c r="C14" s="2">
        <v>-8.8490167114533396</v>
      </c>
      <c r="D14" s="2">
        <v>-1.2927155089967499</v>
      </c>
      <c r="E14" s="2">
        <v>4.4503363155423602E-2</v>
      </c>
      <c r="F14" s="2">
        <v>4.3686345886578E-2</v>
      </c>
      <c r="G14" s="2">
        <v>0.223378779578566</v>
      </c>
      <c r="H14" s="2">
        <v>-14.8311034593498</v>
      </c>
      <c r="I14" s="2">
        <v>-8.8506723825957891</v>
      </c>
      <c r="J14" s="2">
        <v>-1.2863258965672799</v>
      </c>
      <c r="K14" s="2">
        <v>4.4560787832816702E-2</v>
      </c>
      <c r="L14" s="2">
        <v>4.3982221739380198E-2</v>
      </c>
      <c r="M14" s="2">
        <v>0.22423905293052299</v>
      </c>
      <c r="O14" s="3">
        <f t="shared" si="2"/>
        <v>0.1405590261995826</v>
      </c>
      <c r="P14" s="3">
        <f t="shared" si="0"/>
        <v>1.6556711424495774</v>
      </c>
      <c r="Q14" s="3">
        <f t="shared" si="0"/>
        <v>6.3896124294700041</v>
      </c>
      <c r="R14" s="1"/>
      <c r="S14" s="3">
        <f t="shared" si="3"/>
        <v>1.9756839846174948E-2</v>
      </c>
      <c r="T14" s="3">
        <f t="shared" si="1"/>
        <v>2.7412469319402888</v>
      </c>
      <c r="U14" s="3">
        <f t="shared" si="1"/>
        <v>40.82714699883757</v>
      </c>
      <c r="V14" s="1"/>
      <c r="W14" s="1"/>
      <c r="X14" s="1"/>
      <c r="Y14" s="1"/>
    </row>
    <row r="15" spans="1:25" x14ac:dyDescent="0.3">
      <c r="A15" s="1" t="s">
        <v>15</v>
      </c>
      <c r="B15" s="2">
        <v>-14.8218812231879</v>
      </c>
      <c r="C15" s="2">
        <v>-9.1000378232500392</v>
      </c>
      <c r="D15" s="2">
        <v>-1.3033303003986501</v>
      </c>
      <c r="E15" s="2">
        <v>3.85617740325538E-2</v>
      </c>
      <c r="F15" s="2">
        <v>4.3492112870098902E-2</v>
      </c>
      <c r="G15" s="2">
        <v>0.20933709224399399</v>
      </c>
      <c r="H15" s="2">
        <v>-14.8225556003104</v>
      </c>
      <c r="I15" s="2">
        <v>-9.1016708146471395</v>
      </c>
      <c r="J15" s="2">
        <v>-1.29826577770715</v>
      </c>
      <c r="K15" s="2">
        <v>3.8659856621024197E-2</v>
      </c>
      <c r="L15" s="2">
        <v>4.4283459167159603E-2</v>
      </c>
      <c r="M15" s="2">
        <v>0.21031935172357599</v>
      </c>
      <c r="O15" s="3">
        <f t="shared" si="2"/>
        <v>0.67437712250040249</v>
      </c>
      <c r="P15" s="3">
        <f t="shared" si="0"/>
        <v>1.6329913971002696</v>
      </c>
      <c r="Q15" s="3">
        <f t="shared" si="0"/>
        <v>5.0645226915000396</v>
      </c>
      <c r="R15" s="1"/>
      <c r="S15" s="3">
        <f t="shared" si="3"/>
        <v>0.45478450335192289</v>
      </c>
      <c r="T15" s="3">
        <f t="shared" si="1"/>
        <v>2.6666609030034905</v>
      </c>
      <c r="U15" s="3">
        <f t="shared" si="1"/>
        <v>25.649390092718807</v>
      </c>
      <c r="V15" s="1"/>
      <c r="W15" s="1"/>
      <c r="X15" s="1"/>
      <c r="Y15" s="1"/>
    </row>
    <row r="16" spans="1:25" x14ac:dyDescent="0.3">
      <c r="A16" s="1" t="s">
        <v>16</v>
      </c>
      <c r="B16" s="2">
        <v>-15.0574775492345</v>
      </c>
      <c r="C16" s="2">
        <v>-7.7293209357740196</v>
      </c>
      <c r="D16" s="2">
        <v>-1.00972166861243</v>
      </c>
      <c r="E16" s="2">
        <v>3.8266468318081399E-2</v>
      </c>
      <c r="F16" s="2">
        <v>4.84382723590406E-2</v>
      </c>
      <c r="G16" s="2">
        <v>0.21560336331865301</v>
      </c>
      <c r="H16" s="2">
        <v>-15.057329473141399</v>
      </c>
      <c r="I16" s="2">
        <v>-7.7290334957014197</v>
      </c>
      <c r="J16" s="2">
        <v>-1.0121190057307199</v>
      </c>
      <c r="K16" s="2">
        <v>3.8302864815955698E-2</v>
      </c>
      <c r="L16" s="2">
        <v>4.8563401341438502E-2</v>
      </c>
      <c r="M16" s="2">
        <v>0.216466111334288</v>
      </c>
      <c r="O16" s="3">
        <f t="shared" si="2"/>
        <v>0.14807609310096836</v>
      </c>
      <c r="P16" s="3">
        <f t="shared" si="0"/>
        <v>0.28744007259984272</v>
      </c>
      <c r="Q16" s="3">
        <f t="shared" si="0"/>
        <v>2.3973371182899328</v>
      </c>
      <c r="R16" s="1"/>
      <c r="S16" s="3">
        <f t="shared" si="3"/>
        <v>2.1926529348046651E-2</v>
      </c>
      <c r="T16" s="3">
        <f t="shared" si="1"/>
        <v>8.2621795336202855E-2</v>
      </c>
      <c r="U16" s="3">
        <f t="shared" si="1"/>
        <v>5.7472252587306789</v>
      </c>
      <c r="V16" s="1"/>
      <c r="W16" s="1"/>
      <c r="X16" s="1"/>
      <c r="Y16" s="1"/>
    </row>
    <row r="17" spans="1:25" x14ac:dyDescent="0.3">
      <c r="A17" s="1" t="s">
        <v>17</v>
      </c>
      <c r="B17" s="2">
        <v>-15.4218560175426</v>
      </c>
      <c r="C17" s="2">
        <v>-7.3578505136550598</v>
      </c>
      <c r="D17" s="2">
        <v>-2.24597632210273</v>
      </c>
      <c r="E17" s="2">
        <v>4.4207145428671102E-2</v>
      </c>
      <c r="F17" s="2">
        <v>4.6136427596929298E-2</v>
      </c>
      <c r="G17" s="2">
        <v>0.29853374171095898</v>
      </c>
      <c r="H17" s="2">
        <v>-15.4215716598606</v>
      </c>
      <c r="I17" s="2">
        <v>-7.3556724986541298</v>
      </c>
      <c r="J17" s="2">
        <v>-2.2441937366382998</v>
      </c>
      <c r="K17" s="2">
        <v>4.4317052662471303E-2</v>
      </c>
      <c r="L17" s="2">
        <v>4.6245939297701398E-2</v>
      </c>
      <c r="M17" s="2">
        <v>0.29849586133570499</v>
      </c>
      <c r="O17" s="3">
        <f t="shared" si="2"/>
        <v>0.2843576820001914</v>
      </c>
      <c r="P17" s="3">
        <f t="shared" si="0"/>
        <v>2.1780150009300669</v>
      </c>
      <c r="Q17" s="3">
        <f t="shared" si="0"/>
        <v>1.7825854644302197</v>
      </c>
      <c r="R17" s="1"/>
      <c r="S17" s="3">
        <f t="shared" si="3"/>
        <v>8.085929131252198E-2</v>
      </c>
      <c r="T17" s="3">
        <f t="shared" si="1"/>
        <v>4.7437493442763996</v>
      </c>
      <c r="U17" s="3">
        <f t="shared" si="1"/>
        <v>3.1776109379979021</v>
      </c>
      <c r="V17" s="1"/>
      <c r="W17" s="1"/>
      <c r="X17" s="1"/>
      <c r="Y17" s="1"/>
    </row>
    <row r="18" spans="1:25" x14ac:dyDescent="0.3">
      <c r="A18" s="1" t="s">
        <v>18</v>
      </c>
      <c r="B18" s="2">
        <v>-15.5016607092738</v>
      </c>
      <c r="C18" s="2">
        <v>-8.0283724644370302</v>
      </c>
      <c r="D18" s="2">
        <v>-2.0518187755235799</v>
      </c>
      <c r="E18" s="2">
        <v>3.9242530263580801E-2</v>
      </c>
      <c r="F18" s="2">
        <v>3.6023744631597798E-2</v>
      </c>
      <c r="G18" s="2">
        <v>0.28441565446325001</v>
      </c>
      <c r="H18" s="2">
        <v>-15.5016958159956</v>
      </c>
      <c r="I18" s="2">
        <v>-8.0281604013067707</v>
      </c>
      <c r="J18" s="2">
        <v>-2.0534747507886202</v>
      </c>
      <c r="K18" s="2">
        <v>3.9261751786145001E-2</v>
      </c>
      <c r="L18" s="2">
        <v>3.6362271769994799E-2</v>
      </c>
      <c r="M18" s="2">
        <v>0.28567986674985402</v>
      </c>
      <c r="O18" s="3">
        <f t="shared" si="2"/>
        <v>3.5106721799849083E-2</v>
      </c>
      <c r="P18" s="3">
        <f t="shared" si="0"/>
        <v>0.21206313025956547</v>
      </c>
      <c r="Q18" s="3">
        <f t="shared" si="0"/>
        <v>1.6559752650402437</v>
      </c>
      <c r="R18" s="1"/>
      <c r="S18" s="3">
        <f t="shared" si="3"/>
        <v>1.2324819155319989E-3</v>
      </c>
      <c r="T18" s="3">
        <f t="shared" si="1"/>
        <v>4.4970771215485435E-2</v>
      </c>
      <c r="U18" s="3">
        <f t="shared" si="1"/>
        <v>2.7422540784251055</v>
      </c>
      <c r="V18" s="1"/>
      <c r="W18" s="1"/>
      <c r="X18" s="1"/>
      <c r="Y18" s="1"/>
    </row>
    <row r="19" spans="1:25" x14ac:dyDescent="0.3">
      <c r="A19" s="1" t="s">
        <v>19</v>
      </c>
      <c r="B19" s="2">
        <v>-15.5768758351391</v>
      </c>
      <c r="C19" s="2">
        <v>-6.3092915364411102</v>
      </c>
      <c r="D19" s="2">
        <v>-2.1437344082080099</v>
      </c>
      <c r="E19" s="2">
        <v>4.5314166080253397E-2</v>
      </c>
      <c r="F19" s="2">
        <v>4.5950601383965499E-2</v>
      </c>
      <c r="G19" s="2">
        <v>0.266865552134814</v>
      </c>
      <c r="H19" s="2">
        <v>-15.5767956462265</v>
      </c>
      <c r="I19" s="2">
        <v>-6.3097215792373698</v>
      </c>
      <c r="J19" s="2">
        <v>-2.1408065451429699</v>
      </c>
      <c r="K19" s="2">
        <v>4.55664879820432E-2</v>
      </c>
      <c r="L19" s="2">
        <v>4.60489545577989E-2</v>
      </c>
      <c r="M19" s="2">
        <v>0.26742011097010698</v>
      </c>
      <c r="O19" s="3">
        <f t="shared" si="2"/>
        <v>8.0188912599865603E-2</v>
      </c>
      <c r="P19" s="3">
        <f t="shared" si="0"/>
        <v>0.43004279625957764</v>
      </c>
      <c r="Q19" s="3">
        <f t="shared" si="0"/>
        <v>2.9278630650400039</v>
      </c>
      <c r="R19" s="1"/>
      <c r="S19" s="3">
        <f t="shared" si="3"/>
        <v>6.430261703948884E-3</v>
      </c>
      <c r="T19" s="3">
        <f t="shared" si="1"/>
        <v>0.18493680661475662</v>
      </c>
      <c r="U19" s="3">
        <f t="shared" si="1"/>
        <v>8.5723821276254455</v>
      </c>
      <c r="V19" s="1"/>
      <c r="W19" s="1"/>
      <c r="X19" s="1"/>
      <c r="Y19" s="1"/>
    </row>
    <row r="20" spans="1:25" x14ac:dyDescent="0.3">
      <c r="A20" s="1" t="s">
        <v>20</v>
      </c>
      <c r="B20" s="2">
        <v>-15.6739936770954</v>
      </c>
      <c r="C20" s="2">
        <v>-6.4294880437700002</v>
      </c>
      <c r="D20" s="2">
        <v>-2.41325575377493</v>
      </c>
      <c r="E20" s="2">
        <v>4.6935004767185498E-2</v>
      </c>
      <c r="F20" s="2">
        <v>5.1183458466741098E-2</v>
      </c>
      <c r="G20" s="2">
        <v>0.289202779010654</v>
      </c>
      <c r="H20" s="2">
        <v>-15.673813823469899</v>
      </c>
      <c r="I20" s="2">
        <v>-6.4264582044794301</v>
      </c>
      <c r="J20" s="2">
        <v>-2.4213654173684001</v>
      </c>
      <c r="K20" s="2">
        <v>4.6939528314546897E-2</v>
      </c>
      <c r="L20" s="2">
        <v>5.1408876306579997E-2</v>
      </c>
      <c r="M20" s="2">
        <v>0.28925522884739402</v>
      </c>
      <c r="O20" s="3">
        <f t="shared" si="2"/>
        <v>0.17985362550021478</v>
      </c>
      <c r="P20" s="3">
        <f t="shared" si="0"/>
        <v>3.0298392905701022</v>
      </c>
      <c r="Q20" s="3">
        <f t="shared" si="0"/>
        <v>8.1096635934700956</v>
      </c>
      <c r="R20" s="1"/>
      <c r="S20" s="3">
        <f t="shared" si="3"/>
        <v>3.2347326605571505E-2</v>
      </c>
      <c r="T20" s="3">
        <f t="shared" si="1"/>
        <v>9.1799261266823393</v>
      </c>
      <c r="U20" s="3">
        <f t="shared" si="1"/>
        <v>65.766643599254309</v>
      </c>
      <c r="V20" s="1"/>
      <c r="W20" s="1"/>
      <c r="X20" s="1"/>
      <c r="Y20" s="1"/>
    </row>
    <row r="21" spans="1:25" x14ac:dyDescent="0.3">
      <c r="A21" s="1" t="s">
        <v>21</v>
      </c>
      <c r="B21" s="2">
        <v>-14.3836031663149</v>
      </c>
      <c r="C21" s="2">
        <v>-7.3910573480249404</v>
      </c>
      <c r="D21" s="2">
        <v>2.30304289081832</v>
      </c>
      <c r="E21" s="2">
        <v>6.8585596345572E-2</v>
      </c>
      <c r="F21" s="2">
        <v>0.13362563897569199</v>
      </c>
      <c r="G21" s="2">
        <v>0.26158499644140498</v>
      </c>
      <c r="H21" s="2">
        <v>-14.384223702533699</v>
      </c>
      <c r="I21" s="2">
        <v>-7.3900860536693704</v>
      </c>
      <c r="J21" s="2">
        <v>2.2994243847666702</v>
      </c>
      <c r="K21" s="2">
        <v>6.8539222197291E-2</v>
      </c>
      <c r="L21" s="2">
        <v>0.133625479120317</v>
      </c>
      <c r="M21" s="2">
        <v>0.26720602899823498</v>
      </c>
      <c r="O21" s="3">
        <f t="shared" si="2"/>
        <v>0.62053621879876175</v>
      </c>
      <c r="P21" s="3">
        <f t="shared" si="0"/>
        <v>0.97129435556997379</v>
      </c>
      <c r="Q21" s="3">
        <f t="shared" si="0"/>
        <v>3.6185060516498169</v>
      </c>
      <c r="R21" s="1"/>
      <c r="S21" s="3">
        <f t="shared" si="3"/>
        <v>0.38506519884106472</v>
      </c>
      <c r="T21" s="3">
        <f t="shared" si="1"/>
        <v>0.94341272516209063</v>
      </c>
      <c r="U21" s="3">
        <f t="shared" si="1"/>
        <v>13.093586045826347</v>
      </c>
      <c r="V21" s="1"/>
      <c r="W21" s="1"/>
      <c r="X21" s="1"/>
      <c r="Y21" s="1"/>
    </row>
    <row r="22" spans="1:25" x14ac:dyDescent="0.3">
      <c r="A22" s="1" t="s">
        <v>22</v>
      </c>
      <c r="B22" s="2">
        <v>-14.844535678964</v>
      </c>
      <c r="C22" s="2">
        <v>-7.4903255418071302</v>
      </c>
      <c r="D22" s="2">
        <v>1.67966205916169</v>
      </c>
      <c r="E22" s="2">
        <v>5.2018275996576303E-2</v>
      </c>
      <c r="F22" s="2">
        <v>5.0803863466401998E-2</v>
      </c>
      <c r="G22" s="2">
        <v>0.10794364171611399</v>
      </c>
      <c r="H22" s="2">
        <v>-14.8422419893799</v>
      </c>
      <c r="I22" s="2">
        <v>-7.4882003427258299</v>
      </c>
      <c r="J22" s="2">
        <v>1.6765212596815</v>
      </c>
      <c r="K22" s="2">
        <v>5.2273478348255603E-2</v>
      </c>
      <c r="L22" s="2">
        <v>5.1540272211124998E-2</v>
      </c>
      <c r="M22" s="2">
        <v>0.108487056509672</v>
      </c>
      <c r="O22" s="3">
        <f t="shared" si="2"/>
        <v>2.2936895840999227</v>
      </c>
      <c r="P22" s="3">
        <f t="shared" si="0"/>
        <v>2.1251990813002664</v>
      </c>
      <c r="Q22" s="3">
        <f t="shared" si="0"/>
        <v>3.1407994801899708</v>
      </c>
      <c r="R22" s="1"/>
      <c r="S22" s="3">
        <f t="shared" si="3"/>
        <v>5.2610119082084763</v>
      </c>
      <c r="T22" s="3">
        <f t="shared" si="1"/>
        <v>4.5164711351594962</v>
      </c>
      <c r="U22" s="3">
        <f t="shared" si="1"/>
        <v>9.8646213747615903</v>
      </c>
      <c r="V22" s="1"/>
      <c r="W22" s="1"/>
      <c r="X22" s="1"/>
      <c r="Y22" s="1"/>
    </row>
    <row r="23" spans="1:25" x14ac:dyDescent="0.3">
      <c r="A23" s="1" t="s">
        <v>23</v>
      </c>
      <c r="B23" s="2">
        <v>-15.4006877433622</v>
      </c>
      <c r="C23" s="2">
        <v>-9.7767742714658308</v>
      </c>
      <c r="D23" s="2">
        <v>2.3009488182289299</v>
      </c>
      <c r="E23" s="2">
        <v>6.0123327529182903E-2</v>
      </c>
      <c r="F23" s="2">
        <v>4.99731650301432E-2</v>
      </c>
      <c r="G23" s="2">
        <v>0.20385419392698001</v>
      </c>
      <c r="H23" s="2">
        <v>-15.4021710153438</v>
      </c>
      <c r="I23" s="2">
        <v>-9.7728076162629005</v>
      </c>
      <c r="J23" s="2">
        <v>2.2930636645493201</v>
      </c>
      <c r="K23" s="2">
        <v>6.0497725941825502E-2</v>
      </c>
      <c r="L23" s="2">
        <v>5.0643419467655298E-2</v>
      </c>
      <c r="M23" s="2">
        <v>0.204854984173274</v>
      </c>
      <c r="O23" s="3">
        <f t="shared" si="2"/>
        <v>1.4832719816002538</v>
      </c>
      <c r="P23" s="3">
        <f t="shared" si="0"/>
        <v>3.9666552029302693</v>
      </c>
      <c r="Q23" s="3">
        <f t="shared" si="0"/>
        <v>7.8851536796098465</v>
      </c>
      <c r="R23" s="1"/>
      <c r="S23" s="3">
        <f t="shared" si="3"/>
        <v>2.2000957714003433</v>
      </c>
      <c r="T23" s="3">
        <f t="shared" si="1"/>
        <v>15.734353498933777</v>
      </c>
      <c r="U23" s="3">
        <f t="shared" si="1"/>
        <v>62.175648551064704</v>
      </c>
      <c r="V23" s="1"/>
      <c r="W23" s="1"/>
      <c r="X23" s="1"/>
      <c r="Y23" s="1"/>
    </row>
    <row r="24" spans="1:25" x14ac:dyDescent="0.3">
      <c r="A24" s="1" t="s">
        <v>24</v>
      </c>
      <c r="B24" s="2">
        <v>-14.4339301088557</v>
      </c>
      <c r="C24" s="2">
        <v>-7.6294503154179498</v>
      </c>
      <c r="D24" s="2">
        <v>0.34219510421198301</v>
      </c>
      <c r="E24" s="2">
        <v>4.4760232112550397E-2</v>
      </c>
      <c r="F24" s="2">
        <v>4.3942439146684102E-2</v>
      </c>
      <c r="G24" s="2">
        <v>0.120596412099019</v>
      </c>
      <c r="H24" s="2">
        <v>-14.431773500318799</v>
      </c>
      <c r="I24" s="2">
        <v>-7.6292330437548204</v>
      </c>
      <c r="J24" s="2">
        <v>0.34232818937863302</v>
      </c>
      <c r="K24" s="2">
        <v>4.4858135360795102E-2</v>
      </c>
      <c r="L24" s="2">
        <v>4.4107875172252398E-2</v>
      </c>
      <c r="M24" s="2">
        <v>0.12129326658957799</v>
      </c>
      <c r="O24" s="3">
        <f t="shared" si="2"/>
        <v>2.1566085369002508</v>
      </c>
      <c r="P24" s="3">
        <f t="shared" si="0"/>
        <v>0.21727166312945911</v>
      </c>
      <c r="Q24" s="3">
        <f t="shared" si="0"/>
        <v>0.13308516665000436</v>
      </c>
      <c r="R24" s="1"/>
      <c r="S24" s="3">
        <f t="shared" si="3"/>
        <v>4.6509603814310401</v>
      </c>
      <c r="T24" s="3">
        <f t="shared" si="1"/>
        <v>4.7206975599041162E-2</v>
      </c>
      <c r="U24" s="3">
        <f t="shared" si="1"/>
        <v>1.7711661582259432E-2</v>
      </c>
      <c r="V24" s="1"/>
      <c r="W24" s="1"/>
      <c r="X24" s="1"/>
      <c r="Y24" s="1"/>
    </row>
    <row r="25" spans="1:25" x14ac:dyDescent="0.3">
      <c r="A25" s="1" t="s">
        <v>25</v>
      </c>
      <c r="B25" s="2">
        <v>-14.4108574399415</v>
      </c>
      <c r="C25" s="2">
        <v>-8.0684719391399895</v>
      </c>
      <c r="D25" s="2">
        <v>-0.53187987980887796</v>
      </c>
      <c r="E25" s="2">
        <v>4.409169440658E-2</v>
      </c>
      <c r="F25" s="2">
        <v>4.2981259135735098E-2</v>
      </c>
      <c r="G25" s="2">
        <v>0.199642859426785</v>
      </c>
      <c r="H25" s="2">
        <v>-14.410638627683699</v>
      </c>
      <c r="I25" s="2">
        <v>-8.0683593015833495</v>
      </c>
      <c r="J25" s="2">
        <v>-0.53443090214766698</v>
      </c>
      <c r="K25" s="2">
        <v>4.4138759539976098E-2</v>
      </c>
      <c r="L25" s="2">
        <v>4.3310025298338301E-2</v>
      </c>
      <c r="M25" s="2">
        <v>0.202205911605258</v>
      </c>
      <c r="O25" s="3">
        <f t="shared" si="2"/>
        <v>0.2188122578008489</v>
      </c>
      <c r="P25" s="3">
        <f t="shared" si="0"/>
        <v>0.11263755664003838</v>
      </c>
      <c r="Q25" s="3">
        <f t="shared" si="0"/>
        <v>2.5510223387890107</v>
      </c>
      <c r="R25" s="1"/>
      <c r="S25" s="3">
        <f t="shared" si="3"/>
        <v>4.7878804163905157E-2</v>
      </c>
      <c r="T25" s="3">
        <f t="shared" si="1"/>
        <v>1.2687219165837855E-2</v>
      </c>
      <c r="U25" s="3">
        <f t="shared" si="1"/>
        <v>6.5077149730005539</v>
      </c>
      <c r="V25" s="1"/>
      <c r="W25" s="1"/>
      <c r="X25" s="1"/>
      <c r="Y25" s="1"/>
    </row>
    <row r="26" spans="1:25" x14ac:dyDescent="0.3">
      <c r="A26" s="1" t="s">
        <v>26</v>
      </c>
      <c r="B26" s="2">
        <v>-16.130523560159901</v>
      </c>
      <c r="C26" s="2">
        <v>-10.941560438966899</v>
      </c>
      <c r="D26" s="2">
        <v>0.56256591625897101</v>
      </c>
      <c r="E26" s="2">
        <v>8.7001162502430507E-2</v>
      </c>
      <c r="F26" s="2">
        <v>0.10172305162536099</v>
      </c>
      <c r="G26" s="2">
        <v>0.72166034866358097</v>
      </c>
      <c r="H26" s="2">
        <v>-16.1307527981308</v>
      </c>
      <c r="I26" s="2">
        <v>-10.9439909402744</v>
      </c>
      <c r="J26" s="2">
        <v>0.55903440307069396</v>
      </c>
      <c r="K26" s="2">
        <v>8.7185799429397901E-2</v>
      </c>
      <c r="L26" s="2">
        <v>0.102210034620453</v>
      </c>
      <c r="M26" s="2">
        <v>0.72606354267190498</v>
      </c>
      <c r="O26" s="3">
        <f t="shared" si="2"/>
        <v>0.22923797089902109</v>
      </c>
      <c r="P26" s="3">
        <f t="shared" si="0"/>
        <v>2.4305013075007764</v>
      </c>
      <c r="Q26" s="3">
        <f t="shared" si="0"/>
        <v>3.5315131882770467</v>
      </c>
      <c r="R26" s="1"/>
      <c r="S26" s="3">
        <f t="shared" si="3"/>
        <v>5.2550047301900445E-2</v>
      </c>
      <c r="T26" s="3">
        <f t="shared" si="1"/>
        <v>5.9073366057629837</v>
      </c>
      <c r="U26" s="3">
        <f t="shared" si="1"/>
        <v>12.471585398974712</v>
      </c>
      <c r="V26" s="1"/>
      <c r="W26" s="1"/>
      <c r="X26" s="1"/>
      <c r="Y26" s="1"/>
    </row>
    <row r="27" spans="1:25" x14ac:dyDescent="0.3">
      <c r="A27" s="1" t="s">
        <v>27</v>
      </c>
      <c r="B27" s="2">
        <v>-14.869030497892799</v>
      </c>
      <c r="C27" s="2">
        <v>-9.4960042657329993</v>
      </c>
      <c r="D27" s="2">
        <v>-0.71439825512767297</v>
      </c>
      <c r="E27" s="2">
        <v>4.47527655125914E-2</v>
      </c>
      <c r="F27" s="2">
        <v>4.4630030854400898E-2</v>
      </c>
      <c r="G27" s="2">
        <v>0.16448549724905001</v>
      </c>
      <c r="H27" s="2">
        <v>-14.8688131349328</v>
      </c>
      <c r="I27" s="2">
        <v>-9.4966311072837808</v>
      </c>
      <c r="J27" s="2">
        <v>-0.71812037358174097</v>
      </c>
      <c r="K27" s="2">
        <v>4.5000807745232303E-2</v>
      </c>
      <c r="L27" s="2">
        <v>4.5316628558297399E-2</v>
      </c>
      <c r="M27" s="2">
        <v>0.165473671183022</v>
      </c>
      <c r="O27" s="3">
        <f t="shared" si="2"/>
        <v>0.21736295999907895</v>
      </c>
      <c r="P27" s="3">
        <f t="shared" si="0"/>
        <v>0.6268415507815206</v>
      </c>
      <c r="Q27" s="3">
        <f t="shared" si="0"/>
        <v>3.7221184540680019</v>
      </c>
      <c r="R27" s="1"/>
      <c r="S27" s="3">
        <f t="shared" si="3"/>
        <v>4.72466563795612E-2</v>
      </c>
      <c r="T27" s="3">
        <f t="shared" si="1"/>
        <v>0.39293032978618164</v>
      </c>
      <c r="U27" s="3">
        <f t="shared" si="1"/>
        <v>13.854165786113573</v>
      </c>
      <c r="V27" s="1"/>
      <c r="W27" s="1"/>
      <c r="X27" s="1"/>
      <c r="Y27" s="1"/>
    </row>
    <row r="28" spans="1:25" x14ac:dyDescent="0.3">
      <c r="A28" s="1" t="s">
        <v>28</v>
      </c>
      <c r="B28" s="2">
        <v>-15.690777675826499</v>
      </c>
      <c r="C28" s="2">
        <v>-9.9646580954484705</v>
      </c>
      <c r="D28" s="2">
        <v>8.5186557574553096E-2</v>
      </c>
      <c r="E28" s="2">
        <v>5.19040404230319E-2</v>
      </c>
      <c r="F28" s="2">
        <v>4.3360718620396102E-2</v>
      </c>
      <c r="G28" s="2">
        <v>0.26969201908740098</v>
      </c>
      <c r="H28" s="2">
        <v>-15.6894193618228</v>
      </c>
      <c r="I28" s="2">
        <v>-9.9659765253863899</v>
      </c>
      <c r="J28" s="2">
        <v>8.5557251338164497E-2</v>
      </c>
      <c r="K28" s="2">
        <v>5.2203636332036299E-2</v>
      </c>
      <c r="L28" s="2">
        <v>4.3498889443546997E-2</v>
      </c>
      <c r="M28" s="2">
        <v>0.27349751832993202</v>
      </c>
      <c r="O28" s="3">
        <f t="shared" si="2"/>
        <v>1.3583140036992347</v>
      </c>
      <c r="P28" s="3">
        <f t="shared" si="0"/>
        <v>1.3184299379194186</v>
      </c>
      <c r="Q28" s="3">
        <f t="shared" si="0"/>
        <v>0.37069376361140161</v>
      </c>
      <c r="R28" s="1"/>
      <c r="S28" s="3">
        <f t="shared" si="3"/>
        <v>1.8450169326454446</v>
      </c>
      <c r="T28" s="3">
        <f t="shared" si="1"/>
        <v>1.7382575012022021</v>
      </c>
      <c r="U28" s="3">
        <f t="shared" si="1"/>
        <v>0.13741386638038569</v>
      </c>
      <c r="V28" s="1"/>
      <c r="W28" s="1"/>
      <c r="X28" s="1"/>
      <c r="Y28" s="1"/>
    </row>
    <row r="29" spans="1:25" x14ac:dyDescent="0.3">
      <c r="A29" s="1" t="s">
        <v>29</v>
      </c>
      <c r="B29" s="2">
        <v>-14.2861824096126</v>
      </c>
      <c r="C29" s="2">
        <v>-7.4937275071676499</v>
      </c>
      <c r="D29" s="2">
        <v>2.32755912086904</v>
      </c>
      <c r="E29" s="2">
        <v>6.7759975386686003E-2</v>
      </c>
      <c r="F29" s="2">
        <v>5.8704901080677802E-2</v>
      </c>
      <c r="G29" s="2">
        <v>0.16232249433363299</v>
      </c>
      <c r="H29" s="2">
        <v>-14.285239760538399</v>
      </c>
      <c r="I29" s="2">
        <v>-7.49331408001669</v>
      </c>
      <c r="J29" s="2">
        <v>2.3269316226285199</v>
      </c>
      <c r="K29" s="2">
        <v>6.9141939520742601E-2</v>
      </c>
      <c r="L29" s="2">
        <v>5.9313358834715897E-2</v>
      </c>
      <c r="M29" s="2">
        <v>0.16410726055590499</v>
      </c>
      <c r="O29" s="3">
        <f t="shared" si="2"/>
        <v>0.94264907420082977</v>
      </c>
      <c r="P29" s="3">
        <f t="shared" si="0"/>
        <v>0.41342715095993299</v>
      </c>
      <c r="Q29" s="3">
        <f t="shared" si="0"/>
        <v>0.62749824052010794</v>
      </c>
      <c r="R29" s="1"/>
      <c r="S29" s="3">
        <f t="shared" si="3"/>
        <v>0.8885872770916815</v>
      </c>
      <c r="T29" s="3">
        <f t="shared" si="1"/>
        <v>0.17092200915084721</v>
      </c>
      <c r="U29" s="3">
        <f t="shared" si="1"/>
        <v>0.39375404185583124</v>
      </c>
      <c r="V29" s="1"/>
      <c r="W29" s="1"/>
      <c r="X29" s="1"/>
      <c r="Y29" s="1"/>
    </row>
    <row r="30" spans="1:25" x14ac:dyDescent="0.3">
      <c r="A30" s="1" t="s">
        <v>30</v>
      </c>
      <c r="B30" s="2">
        <v>-14.7403426137138</v>
      </c>
      <c r="C30" s="2">
        <v>-8.8849179285393802</v>
      </c>
      <c r="D30" s="2">
        <v>-0.45299098958474598</v>
      </c>
      <c r="E30" s="2">
        <v>7.0676895073149407E-2</v>
      </c>
      <c r="F30" s="2">
        <v>5.0138416594728098E-2</v>
      </c>
      <c r="G30" s="2">
        <v>0.19119997302196601</v>
      </c>
      <c r="H30" s="2">
        <v>-14.7351765794472</v>
      </c>
      <c r="I30" s="2">
        <v>-8.8799624813422504</v>
      </c>
      <c r="J30" s="2">
        <v>-0.457401410082795</v>
      </c>
      <c r="K30" s="2">
        <v>7.1156341538943901E-2</v>
      </c>
      <c r="L30" s="2">
        <v>5.0658634461658303E-2</v>
      </c>
      <c r="M30" s="2">
        <v>0.19114411498623901</v>
      </c>
      <c r="O30" s="3">
        <f t="shared" si="2"/>
        <v>5.1660342665993397</v>
      </c>
      <c r="P30" s="3">
        <f t="shared" si="0"/>
        <v>4.9554471971298142</v>
      </c>
      <c r="Q30" s="3">
        <f t="shared" si="0"/>
        <v>4.4104204980490174</v>
      </c>
      <c r="R30" s="1"/>
      <c r="S30" s="3">
        <f t="shared" si="3"/>
        <v>26.687910043678578</v>
      </c>
      <c r="T30" s="3">
        <f t="shared" si="1"/>
        <v>24.556456923541731</v>
      </c>
      <c r="U30" s="3">
        <f t="shared" si="1"/>
        <v>19.451808969610944</v>
      </c>
      <c r="V30" s="1"/>
      <c r="W30" s="1"/>
      <c r="X30" s="1"/>
      <c r="Y30" s="1"/>
    </row>
    <row r="31" spans="1:25" x14ac:dyDescent="0.3">
      <c r="A31" s="1" t="s">
        <v>31</v>
      </c>
      <c r="B31" s="2">
        <v>-14.7650324913819</v>
      </c>
      <c r="C31" s="2">
        <v>-8.0807924019217392</v>
      </c>
      <c r="D31" s="2">
        <v>-1.1772672893173599</v>
      </c>
      <c r="E31" s="2">
        <v>5.2059519132006203E-2</v>
      </c>
      <c r="F31" s="2">
        <v>4.505294278113E-2</v>
      </c>
      <c r="G31" s="2">
        <v>0.20537387030021501</v>
      </c>
      <c r="H31" s="2">
        <v>-14.7646999219298</v>
      </c>
      <c r="I31" s="2">
        <v>-8.0804276183037498</v>
      </c>
      <c r="J31" s="2">
        <v>-1.17838277537006</v>
      </c>
      <c r="K31" s="2">
        <v>5.2228927779627503E-2</v>
      </c>
      <c r="L31" s="2">
        <v>4.5357494267188499E-2</v>
      </c>
      <c r="M31" s="2">
        <v>0.205510949134834</v>
      </c>
      <c r="O31" s="3">
        <f t="shared" si="2"/>
        <v>0.33256945209991784</v>
      </c>
      <c r="P31" s="3">
        <f t="shared" si="0"/>
        <v>0.36478361798941705</v>
      </c>
      <c r="Q31" s="3">
        <f t="shared" si="0"/>
        <v>1.1154860527000654</v>
      </c>
      <c r="R31" s="1"/>
      <c r="S31" s="3">
        <f t="shared" si="3"/>
        <v>0.11060244047003955</v>
      </c>
      <c r="T31" s="3">
        <f t="shared" si="1"/>
        <v>0.13306708795344896</v>
      </c>
      <c r="U31" s="3">
        <f t="shared" si="1"/>
        <v>1.2443091337683732</v>
      </c>
      <c r="V31" s="1"/>
      <c r="W31" s="1"/>
      <c r="X31" s="1"/>
      <c r="Y31" s="1"/>
    </row>
    <row r="32" spans="1:25" x14ac:dyDescent="0.3">
      <c r="O32" s="3"/>
      <c r="P32" s="3"/>
      <c r="Q32" s="3"/>
      <c r="R32" s="1"/>
      <c r="S32" s="3"/>
      <c r="T32" s="3"/>
      <c r="U32" s="3"/>
      <c r="V32" s="1"/>
      <c r="W32" s="1"/>
      <c r="X32" s="1"/>
      <c r="Y32" s="1"/>
    </row>
    <row r="33" spans="15:25" x14ac:dyDescent="0.3">
      <c r="O33" s="3"/>
      <c r="P33" s="3"/>
      <c r="Q33" s="3"/>
      <c r="R33" s="1"/>
      <c r="S33" s="3"/>
      <c r="T33" s="3"/>
      <c r="U33" s="3"/>
      <c r="V33" s="1"/>
      <c r="W33" s="1"/>
      <c r="X33" s="1"/>
      <c r="Y33" s="1"/>
    </row>
    <row r="34" spans="15:25" x14ac:dyDescent="0.3">
      <c r="O34" s="3"/>
      <c r="P34" s="3"/>
      <c r="Q34" s="3"/>
      <c r="R34" s="1"/>
      <c r="S34" s="3"/>
      <c r="T34" s="3"/>
      <c r="U34" s="3"/>
      <c r="V34" s="1"/>
      <c r="W34" s="1"/>
      <c r="X34" s="1"/>
      <c r="Y34" s="1"/>
    </row>
    <row r="35" spans="15:25" x14ac:dyDescent="0.3">
      <c r="O35" s="3"/>
      <c r="P35" s="3"/>
      <c r="Q35" s="3"/>
      <c r="R35" s="1"/>
      <c r="S35" s="3"/>
      <c r="T35" s="3"/>
      <c r="U35" s="3"/>
      <c r="V35" s="1"/>
      <c r="W35" s="1"/>
      <c r="X35" s="1"/>
      <c r="Y35" s="1"/>
    </row>
    <row r="36" spans="15:25" x14ac:dyDescent="0.3">
      <c r="O36" s="3"/>
      <c r="P36" s="3"/>
      <c r="Q36" s="3"/>
      <c r="R36" s="1"/>
      <c r="S36" s="3"/>
      <c r="T36" s="3"/>
      <c r="U36" s="3"/>
      <c r="V36" s="1"/>
      <c r="W36" s="1"/>
      <c r="X36" s="1"/>
      <c r="Y36" s="1"/>
    </row>
    <row r="37" spans="15:25" x14ac:dyDescent="0.3">
      <c r="O37" s="3"/>
      <c r="P37" s="3"/>
      <c r="Q37" s="3"/>
      <c r="R37" s="1"/>
      <c r="S37" s="3"/>
      <c r="T37" s="3"/>
      <c r="U37" s="3"/>
      <c r="V37" s="1"/>
      <c r="W37" s="1"/>
      <c r="X37" s="1"/>
      <c r="Y37" s="1"/>
    </row>
    <row r="38" spans="15:25" x14ac:dyDescent="0.3">
      <c r="O38" s="3"/>
      <c r="P38" s="3"/>
      <c r="Q38" s="3"/>
      <c r="R38" s="1"/>
      <c r="S38" s="3"/>
      <c r="T38" s="3"/>
      <c r="U38" s="3"/>
      <c r="V38" s="1"/>
      <c r="W38" s="1"/>
      <c r="X38" s="1"/>
      <c r="Y38" s="1"/>
    </row>
    <row r="39" spans="15:25" x14ac:dyDescent="0.3">
      <c r="O39" s="3"/>
      <c r="P39" s="3"/>
      <c r="Q39" s="3"/>
      <c r="R39" s="1"/>
      <c r="S39" s="3"/>
      <c r="T39" s="3"/>
      <c r="U39" s="3"/>
      <c r="V39" s="1"/>
      <c r="W39" s="1"/>
      <c r="X39" s="1"/>
      <c r="Y39" s="1"/>
    </row>
  </sheetData>
  <mergeCells count="6">
    <mergeCell ref="W1:Y1"/>
    <mergeCell ref="A1:A2"/>
    <mergeCell ref="B1:G1"/>
    <mergeCell ref="H1:M1"/>
    <mergeCell ref="O1:Q1"/>
    <mergeCell ref="S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Montana_Velocity_Results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ugur gulsun</dc:creator>
  <cp:lastModifiedBy>ugur gulsun</cp:lastModifiedBy>
  <dcterms:created xsi:type="dcterms:W3CDTF">2026-06-09T11:48:18Z</dcterms:created>
  <dcterms:modified xsi:type="dcterms:W3CDTF">2026-06-09T12:30:16Z</dcterms:modified>
</cp:coreProperties>
</file>